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llege Faculty\Desktop\ENROLMENT LIST\CBA CURRICULUM (updated November 2022)\"/>
    </mc:Choice>
  </mc:AlternateContent>
  <xr:revisionPtr revIDLastSave="0" documentId="13_ncr:1_{42DAAFEF-4826-461E-88C7-B5BC95F7492B}" xr6:coauthVersionLast="46" xr6:coauthVersionMax="46" xr10:uidLastSave="{00000000-0000-0000-0000-000000000000}"/>
  <bookViews>
    <workbookView xWindow="-120" yWindow="-120" windowWidth="20730" windowHeight="11160" activeTab="1" xr2:uid="{8FA7F57A-66E0-49E1-B98E-45F457890D6F}"/>
  </bookViews>
  <sheets>
    <sheet name="BSBA - FM" sheetId="1" r:id="rId1"/>
    <sheet name="FM Subject Groupings" sheetId="2" r:id="rId2"/>
    <sheet name="BSBA - MM" sheetId="5" r:id="rId3"/>
    <sheet name="MM Subject Groupings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3" i="2" l="1"/>
  <c r="G78" i="2"/>
  <c r="G70" i="2"/>
  <c r="D43" i="1"/>
  <c r="D43" i="5"/>
  <c r="F81" i="4"/>
  <c r="G76" i="4"/>
  <c r="G27" i="4" l="1"/>
  <c r="G23" i="4"/>
  <c r="G47" i="4"/>
  <c r="G37" i="4"/>
  <c r="G8" i="4"/>
  <c r="H41" i="5"/>
  <c r="H37" i="5"/>
  <c r="D37" i="5"/>
  <c r="H27" i="5"/>
  <c r="D27" i="5"/>
  <c r="H16" i="5"/>
  <c r="D16" i="5"/>
  <c r="H37" i="1"/>
  <c r="H41" i="1"/>
  <c r="D37" i="1"/>
  <c r="G60" i="2"/>
  <c r="G49" i="2"/>
  <c r="G28" i="2" l="1"/>
  <c r="G68" i="4" l="1"/>
  <c r="G24" i="2"/>
  <c r="G38" i="2"/>
  <c r="G9" i="2"/>
  <c r="H27" i="1"/>
  <c r="D27" i="1"/>
  <c r="H16" i="1"/>
  <c r="D16" i="1"/>
</calcChain>
</file>

<file path=xl/sharedStrings.xml><?xml version="1.0" encoding="utf-8"?>
<sst xmlns="http://schemas.openxmlformats.org/spreadsheetml/2006/main" count="619" uniqueCount="130">
  <si>
    <t>Kabankalan Catholic College</t>
  </si>
  <si>
    <t>City of Kabankalan, Negros Occidental</t>
  </si>
  <si>
    <t xml:space="preserve">F I R S T   Y E A R </t>
  </si>
  <si>
    <t>1st SEMESTER</t>
  </si>
  <si>
    <t>DESCRIPTION</t>
  </si>
  <si>
    <t xml:space="preserve">2nd SEMESTER </t>
  </si>
  <si>
    <t xml:space="preserve">DESCRIPTION </t>
  </si>
  <si>
    <t xml:space="preserve">Theology </t>
  </si>
  <si>
    <t>Revelation and Faith</t>
  </si>
  <si>
    <t>Church History</t>
  </si>
  <si>
    <t>GE</t>
  </si>
  <si>
    <t>Understanding the Self</t>
  </si>
  <si>
    <t>Purposive Communication</t>
  </si>
  <si>
    <t>Readings in Philippine History</t>
  </si>
  <si>
    <t>Art Appreciation</t>
  </si>
  <si>
    <t>The Contemporary World</t>
  </si>
  <si>
    <t>Science, Technology and Society</t>
  </si>
  <si>
    <t>Mathematics in the Modern World</t>
  </si>
  <si>
    <t>Ethics</t>
  </si>
  <si>
    <t>AC</t>
  </si>
  <si>
    <t>Principles of Accounting</t>
  </si>
  <si>
    <t>NSTP</t>
  </si>
  <si>
    <t xml:space="preserve">S E C O N D   Y E A R </t>
  </si>
  <si>
    <t xml:space="preserve">1st SEMESTER </t>
  </si>
  <si>
    <t>Sacraments and Liturgy</t>
  </si>
  <si>
    <t>Christology</t>
  </si>
  <si>
    <t>Rizal's Life and Works</t>
  </si>
  <si>
    <t>BACC</t>
  </si>
  <si>
    <t>Obligations and Contracts</t>
  </si>
  <si>
    <t>Income Taxation</t>
  </si>
  <si>
    <t>Basic Microeconomics</t>
  </si>
  <si>
    <t>BAFM</t>
  </si>
  <si>
    <t>Monetary Policy and Central Banking</t>
  </si>
  <si>
    <t>Banking and Financial Institutions</t>
  </si>
  <si>
    <t>Credit and Collection</t>
  </si>
  <si>
    <t xml:space="preserve">T H I R D   Y E A R </t>
  </si>
  <si>
    <t>Moral Theology</t>
  </si>
  <si>
    <t>Social Teachings of the Church and Community Involvement</t>
  </si>
  <si>
    <t>CBME</t>
  </si>
  <si>
    <t>Strategic Management</t>
  </si>
  <si>
    <t>Business Research</t>
  </si>
  <si>
    <t>Good Governance And Social Responsibility</t>
  </si>
  <si>
    <t>Operations Management and TQM</t>
  </si>
  <si>
    <t>Human Resource Management</t>
  </si>
  <si>
    <t>Investment and Portfolio Management</t>
  </si>
  <si>
    <t>International Trade and Agreements</t>
  </si>
  <si>
    <t xml:space="preserve">BAFM </t>
  </si>
  <si>
    <t>Financial Analysis and Reporting</t>
  </si>
  <si>
    <t>Financial Management</t>
  </si>
  <si>
    <t>BAMM</t>
  </si>
  <si>
    <t>Cooperative Management</t>
  </si>
  <si>
    <t>Capital Market</t>
  </si>
  <si>
    <t xml:space="preserve">FOURTH   Y E A R </t>
  </si>
  <si>
    <t>Special Topics in Financial Management</t>
  </si>
  <si>
    <t>Entrepreneurial Management</t>
  </si>
  <si>
    <t>Public Finance</t>
  </si>
  <si>
    <t>Practicum/ Work Integrated Learning</t>
  </si>
  <si>
    <t>Global Finance with Electronic Banking</t>
  </si>
  <si>
    <t>Feasibility Study</t>
  </si>
  <si>
    <t xml:space="preserve"> </t>
  </si>
  <si>
    <t>KABANKALAN CATHOLIC COLLEGE</t>
  </si>
  <si>
    <t>BACHELOR OF SCIENCE IN BUSINESS ADMINISTRATION</t>
  </si>
  <si>
    <t>MAJOR IN FINANCIAL MANGEMENT</t>
  </si>
  <si>
    <t>(BSBA- FM)</t>
  </si>
  <si>
    <t>SUMMARY OF SUBJECT GROUPINGS</t>
  </si>
  <si>
    <t>GENERAL EDUCATION COURSES</t>
  </si>
  <si>
    <t>units</t>
  </si>
  <si>
    <t>Readings in the Philippine History</t>
  </si>
  <si>
    <t>COMMON BUSINESS COURSES</t>
  </si>
  <si>
    <t>BUSINESS ADMINISTRATION CORE COURSES</t>
  </si>
  <si>
    <t>Income taxation</t>
  </si>
  <si>
    <t>Good Governance and Social Responsibility</t>
  </si>
  <si>
    <t>INTERNSHIP</t>
  </si>
  <si>
    <t>ELECTIVES</t>
  </si>
  <si>
    <t>PHYSICAL EDUCATION COURSES</t>
  </si>
  <si>
    <t>NATIONAL SERVICE TRAINING PROGRAM</t>
  </si>
  <si>
    <t>THEOLOGY</t>
  </si>
  <si>
    <t>Theo 1</t>
  </si>
  <si>
    <t>Theo 2</t>
  </si>
  <si>
    <t>Theo 3</t>
  </si>
  <si>
    <t>Sacrament and Liturgy</t>
  </si>
  <si>
    <t>Theo 4</t>
  </si>
  <si>
    <t>Theo 5</t>
  </si>
  <si>
    <t>Theo 6</t>
  </si>
  <si>
    <t>Social teachings of the Church and Community</t>
  </si>
  <si>
    <t>TOTAL</t>
  </si>
  <si>
    <t>MAJOR IN MARKETING MANGEMENT</t>
  </si>
  <si>
    <t>(BSBA- MM)</t>
  </si>
  <si>
    <t>CORE  COURSES</t>
  </si>
  <si>
    <t>Professional Salesmanship</t>
  </si>
  <si>
    <t>Marketing Management</t>
  </si>
  <si>
    <t>Product Management</t>
  </si>
  <si>
    <t>Marketing Research</t>
  </si>
  <si>
    <t>Pricing Strategy</t>
  </si>
  <si>
    <t>Distribution Management</t>
  </si>
  <si>
    <t>Retail Management</t>
  </si>
  <si>
    <t>Advertising</t>
  </si>
  <si>
    <t>Strategic Marketing management</t>
  </si>
  <si>
    <t>Services Marketing</t>
  </si>
  <si>
    <t>Cooperative Marketing</t>
  </si>
  <si>
    <t>Strategic Marketing Management</t>
  </si>
  <si>
    <t>Effective School Year 2023-2024</t>
  </si>
  <si>
    <t>BACHELOR OF SCIENCE IN BUSINESS ADMINISTRATION - FINANCIAL MANAGEMENT</t>
  </si>
  <si>
    <t>[2]</t>
  </si>
  <si>
    <t>Philippine Indigenous Communities</t>
  </si>
  <si>
    <t>The Entrepreneurial Mind</t>
  </si>
  <si>
    <t>Living in the IT Era</t>
  </si>
  <si>
    <t>PATHFit</t>
  </si>
  <si>
    <t>Physical Activities Toward Health and Fitness: Movement Competency Training</t>
  </si>
  <si>
    <t>Physical Activities Toward Health and Fitness: Exercise-based Fitness Activities</t>
  </si>
  <si>
    <t>CWTS 1/ ROTC 1</t>
  </si>
  <si>
    <t>CWTS 2 / ROTC 2</t>
  </si>
  <si>
    <t>Physical Activities Toward Health and Fitness: Menu of Dance</t>
  </si>
  <si>
    <t>Physical Activities Toward Health and Fitness: Menu of Sports</t>
  </si>
  <si>
    <t>COMMON BUSINESS and MANAGEMENT COURSES</t>
  </si>
  <si>
    <t>PROFESSIONAL MAJOR COURSES</t>
  </si>
  <si>
    <t xml:space="preserve">CBME </t>
  </si>
  <si>
    <t>Business Taxation</t>
  </si>
  <si>
    <t>Professional Elective Courses</t>
  </si>
  <si>
    <t>General Education Electives</t>
  </si>
  <si>
    <t>Thesis/Feasibility Study</t>
  </si>
  <si>
    <t>Physical Activities Toward Health and Fitness 3: Menu of Dance</t>
  </si>
  <si>
    <t>Physical Activities Toward Health and Fitness 4:     Menu of Sports</t>
  </si>
  <si>
    <t>Physical Activities Toward Health and Fitness 1: Movement Competency Training</t>
  </si>
  <si>
    <t>Physical Activities Toward Health and Fitness 2: Exercise-based Fitness Activities</t>
  </si>
  <si>
    <t>CWTS 1 / ROTC 1</t>
  </si>
  <si>
    <t>BACHELOR OF SCIENCE IN BUSINESS ADMINISTRATION - MARKETING MANAGEMENT</t>
  </si>
  <si>
    <t>INSTITUTIONAL COURSES</t>
  </si>
  <si>
    <t>IT Application Tools in Business</t>
  </si>
  <si>
    <t xml:space="preserve">AC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</si>
</sst>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0"/>
      <color theme="1"/>
      <name val="Arial Narrow"/>
      <family val="2"/>
    </font>
    <font>
      <sz val="11"/>
      <color theme="1"/>
      <name val="Arial Narrow"/>
      <family val="2"/>
    </font>
    <font>
      <sz val="12"/>
      <color theme="1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name val="Arial Narrow"/>
      <family val="2"/>
    </font>
    <font>
      <sz val="12"/>
      <name val="Arial Narrow"/>
      <family val="2"/>
    </font>
    <font>
      <i/>
      <sz val="12"/>
      <name val="Arial Narrow"/>
      <family val="2"/>
    </font>
    <font>
      <sz val="18"/>
      <color theme="1"/>
      <name val="Old English Text MT"/>
      <family val="4"/>
    </font>
    <font>
      <sz val="11"/>
      <name val="Arial Narrow"/>
      <family val="2"/>
    </font>
    <font>
      <sz val="10.5"/>
      <name val="Arial Narrow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0" xfId="0" applyFont="1" applyAlignment="1">
      <alignment vertical="center" wrapText="1"/>
    </xf>
    <xf numFmtId="0" fontId="7" fillId="0" borderId="0" xfId="0" applyFont="1"/>
    <xf numFmtId="0" fontId="8" fillId="0" borderId="0" xfId="0" applyFont="1" applyAlignment="1">
      <alignment horizontal="center"/>
    </xf>
    <xf numFmtId="0" fontId="8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0" fontId="8" fillId="0" borderId="0" xfId="0" applyFont="1" applyAlignment="1">
      <alignment horizontal="right"/>
    </xf>
    <xf numFmtId="0" fontId="8" fillId="0" borderId="0" xfId="0" applyFont="1" applyAlignment="1">
      <alignment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1" fillId="0" borderId="0" xfId="0" applyFont="1"/>
    <xf numFmtId="0" fontId="9" fillId="0" borderId="0" xfId="0" applyFont="1" applyAlignment="1">
      <alignment horizontal="right"/>
    </xf>
    <xf numFmtId="0" fontId="8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12" fillId="0" borderId="3" xfId="0" applyFont="1" applyBorder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quotePrefix="1" applyFont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17" fillId="0" borderId="0" xfId="0" applyFont="1" applyAlignment="1">
      <alignment horizontal="left" vertical="center" wrapText="1"/>
    </xf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5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5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5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left" vertical="center" wrapText="1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1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Border="1" applyAlignment="1">
      <alignment vertical="center" wrapText="1"/>
    </xf>
    <xf numFmtId="0" fontId="1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802697</xdr:colOff>
      <xdr:row>0</xdr:row>
      <xdr:rowOff>28575</xdr:rowOff>
    </xdr:from>
    <xdr:to>
      <xdr:col>2</xdr:col>
      <xdr:colOff>1266825</xdr:colOff>
      <xdr:row>2</xdr:row>
      <xdr:rowOff>22803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ADD6813-FCBB-4DFB-AD5F-8D54EBFE5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2822" y="28575"/>
          <a:ext cx="464128" cy="4895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408332</xdr:colOff>
      <xdr:row>0</xdr:row>
      <xdr:rowOff>31059</xdr:rowOff>
    </xdr:from>
    <xdr:to>
      <xdr:col>3</xdr:col>
      <xdr:colOff>140435</xdr:colOff>
      <xdr:row>3</xdr:row>
      <xdr:rowOff>29598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CF0305-25F9-4313-9CE0-1455EDAEF071}"/>
            </a:ext>
          </a:extLst>
        </xdr:cNvPr>
        <xdr:cNvPicPr/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522632" y="459684"/>
          <a:ext cx="646503" cy="636714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802697</xdr:colOff>
      <xdr:row>0</xdr:row>
      <xdr:rowOff>28575</xdr:rowOff>
    </xdr:from>
    <xdr:to>
      <xdr:col>2</xdr:col>
      <xdr:colOff>1266825</xdr:colOff>
      <xdr:row>2</xdr:row>
      <xdr:rowOff>22803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A30F16-FB93-4003-9E1E-A60837ECB6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8522" y="28575"/>
          <a:ext cx="464128" cy="48952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0</xdr:row>
      <xdr:rowOff>63500</xdr:rowOff>
    </xdr:from>
    <xdr:to>
      <xdr:col>3</xdr:col>
      <xdr:colOff>9625</xdr:colOff>
      <xdr:row>3</xdr:row>
      <xdr:rowOff>106130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B651B9-5B9C-4BDB-ACDE-A4CCFA7D8D4B}"/>
            </a:ext>
          </a:extLst>
        </xdr:cNvPr>
        <xdr:cNvPicPr/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431800" y="63500"/>
          <a:ext cx="644625" cy="68080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E924C-8A97-44C7-B4E6-826D7096ADAD}">
  <sheetPr>
    <pageSetUpPr fitToPage="1"/>
  </sheetPr>
  <dimension ref="A1:I48"/>
  <sheetViews>
    <sheetView workbookViewId="0">
      <selection activeCell="G13" sqref="G13"/>
    </sheetView>
  </sheetViews>
  <sheetFormatPr defaultRowHeight="15.75" x14ac:dyDescent="0.25"/>
  <cols>
    <col min="1" max="1" width="9.140625" style="16" customWidth="1"/>
    <col min="2" max="2" width="4.140625" style="23" customWidth="1"/>
    <col min="3" max="3" width="36.42578125" style="16" customWidth="1"/>
    <col min="4" max="4" width="5" style="16" customWidth="1"/>
    <col min="5" max="5" width="8.7109375" style="16" customWidth="1"/>
    <col min="6" max="6" width="4.28515625" style="23" customWidth="1"/>
    <col min="7" max="7" width="35.85546875" style="16" customWidth="1"/>
    <col min="8" max="8" width="4.85546875" style="16" customWidth="1"/>
    <col min="9" max="16384" width="9.140625" style="16"/>
  </cols>
  <sheetData>
    <row r="1" spans="1:8" s="26" customFormat="1" ht="22.5" x14ac:dyDescent="0.3">
      <c r="A1" s="50" t="s">
        <v>0</v>
      </c>
      <c r="B1" s="50"/>
      <c r="C1" s="50"/>
      <c r="D1" s="50"/>
      <c r="E1" s="50"/>
      <c r="F1" s="50"/>
      <c r="G1" s="50"/>
      <c r="H1" s="50"/>
    </row>
    <row r="2" spans="1:8" s="27" customFormat="1" ht="16.5" x14ac:dyDescent="0.3">
      <c r="A2" s="51" t="s">
        <v>1</v>
      </c>
      <c r="B2" s="51"/>
      <c r="C2" s="51"/>
      <c r="D2" s="51"/>
      <c r="E2" s="51"/>
      <c r="F2" s="51"/>
      <c r="G2" s="51"/>
      <c r="H2" s="51"/>
    </row>
    <row r="3" spans="1:8" s="27" customFormat="1" ht="16.5" x14ac:dyDescent="0.3">
      <c r="A3" s="51" t="s">
        <v>102</v>
      </c>
      <c r="B3" s="51"/>
      <c r="C3" s="51"/>
      <c r="D3" s="51"/>
      <c r="E3" s="51"/>
      <c r="F3" s="51"/>
      <c r="G3" s="51"/>
      <c r="H3" s="51"/>
    </row>
    <row r="4" spans="1:8" s="27" customFormat="1" ht="16.5" x14ac:dyDescent="0.3">
      <c r="A4" s="51" t="s">
        <v>101</v>
      </c>
      <c r="B4" s="51"/>
      <c r="C4" s="51"/>
      <c r="D4" s="51"/>
      <c r="E4" s="51"/>
      <c r="F4" s="51"/>
      <c r="G4" s="51"/>
      <c r="H4" s="51"/>
    </row>
    <row r="5" spans="1:8" ht="16.5" thickBot="1" x14ac:dyDescent="0.3">
      <c r="A5" s="28"/>
      <c r="B5" s="36"/>
      <c r="C5" s="28"/>
      <c r="D5" s="28"/>
      <c r="E5" s="28"/>
      <c r="F5" s="36"/>
      <c r="G5" s="28"/>
      <c r="H5" s="28"/>
    </row>
    <row r="6" spans="1:8" ht="17.25" thickTop="1" thickBot="1" x14ac:dyDescent="0.3">
      <c r="A6" s="49" t="s">
        <v>2</v>
      </c>
      <c r="B6" s="49"/>
      <c r="C6" s="49"/>
      <c r="D6" s="49"/>
      <c r="E6" s="49"/>
      <c r="F6" s="49"/>
      <c r="G6" s="49"/>
      <c r="H6" s="49"/>
    </row>
    <row r="7" spans="1:8" s="47" customFormat="1" ht="13.5" thickTop="1" x14ac:dyDescent="0.25">
      <c r="A7" s="52" t="s">
        <v>3</v>
      </c>
      <c r="B7" s="52"/>
      <c r="C7" s="46" t="s">
        <v>4</v>
      </c>
      <c r="D7" s="46"/>
      <c r="E7" s="52" t="s">
        <v>5</v>
      </c>
      <c r="F7" s="52"/>
      <c r="G7" s="46" t="s">
        <v>6</v>
      </c>
      <c r="H7" s="46"/>
    </row>
    <row r="8" spans="1:8" x14ac:dyDescent="0.25">
      <c r="A8" s="20" t="s">
        <v>7</v>
      </c>
      <c r="B8" s="21">
        <v>1</v>
      </c>
      <c r="C8" s="22" t="s">
        <v>8</v>
      </c>
      <c r="D8" s="21" t="s">
        <v>103</v>
      </c>
      <c r="E8" s="22" t="s">
        <v>7</v>
      </c>
      <c r="F8" s="21">
        <v>2</v>
      </c>
      <c r="G8" s="22" t="s">
        <v>9</v>
      </c>
      <c r="H8" s="21" t="s">
        <v>103</v>
      </c>
    </row>
    <row r="9" spans="1:8" x14ac:dyDescent="0.25">
      <c r="A9" s="29" t="s">
        <v>10</v>
      </c>
      <c r="B9" s="23">
        <v>1</v>
      </c>
      <c r="C9" s="16" t="s">
        <v>11</v>
      </c>
      <c r="D9" s="21">
        <v>3</v>
      </c>
      <c r="E9" s="29" t="s">
        <v>10</v>
      </c>
      <c r="F9" s="23">
        <v>5</v>
      </c>
      <c r="G9" s="16" t="s">
        <v>12</v>
      </c>
      <c r="H9" s="21">
        <v>3</v>
      </c>
    </row>
    <row r="10" spans="1:8" x14ac:dyDescent="0.25">
      <c r="A10" s="29" t="s">
        <v>10</v>
      </c>
      <c r="B10" s="23">
        <v>2</v>
      </c>
      <c r="C10" s="16" t="s">
        <v>13</v>
      </c>
      <c r="D10" s="21">
        <v>3</v>
      </c>
      <c r="E10" s="29" t="s">
        <v>10</v>
      </c>
      <c r="F10" s="23">
        <v>6</v>
      </c>
      <c r="G10" s="22" t="s">
        <v>14</v>
      </c>
      <c r="H10" s="21">
        <v>3</v>
      </c>
    </row>
    <row r="11" spans="1:8" x14ac:dyDescent="0.25">
      <c r="A11" s="29" t="s">
        <v>10</v>
      </c>
      <c r="B11" s="23">
        <v>3</v>
      </c>
      <c r="C11" s="16" t="s">
        <v>15</v>
      </c>
      <c r="D11" s="21">
        <v>3</v>
      </c>
      <c r="E11" s="29" t="s">
        <v>10</v>
      </c>
      <c r="F11" s="23">
        <v>4</v>
      </c>
      <c r="G11" s="16" t="s">
        <v>17</v>
      </c>
      <c r="H11" s="21">
        <v>3</v>
      </c>
    </row>
    <row r="12" spans="1:8" x14ac:dyDescent="0.25">
      <c r="A12" s="29" t="s">
        <v>19</v>
      </c>
      <c r="B12" s="23">
        <v>1</v>
      </c>
      <c r="C12" s="16" t="s">
        <v>20</v>
      </c>
      <c r="D12" s="21">
        <v>3</v>
      </c>
      <c r="E12" s="22" t="s">
        <v>27</v>
      </c>
      <c r="F12" s="21">
        <v>2</v>
      </c>
      <c r="G12" s="22" t="s">
        <v>28</v>
      </c>
      <c r="H12" s="21">
        <v>3</v>
      </c>
    </row>
    <row r="13" spans="1:8" x14ac:dyDescent="0.25">
      <c r="A13" s="18" t="s">
        <v>27</v>
      </c>
      <c r="B13" s="14">
        <v>1</v>
      </c>
      <c r="C13" s="18" t="s">
        <v>30</v>
      </c>
      <c r="D13" s="17">
        <v>3</v>
      </c>
      <c r="E13" s="22" t="s">
        <v>31</v>
      </c>
      <c r="F13" s="23">
        <v>1</v>
      </c>
      <c r="G13" s="16" t="s">
        <v>33</v>
      </c>
      <c r="H13" s="21">
        <v>3</v>
      </c>
    </row>
    <row r="14" spans="1:8" ht="27" x14ac:dyDescent="0.25">
      <c r="A14" s="20" t="s">
        <v>107</v>
      </c>
      <c r="B14" s="38">
        <v>1</v>
      </c>
      <c r="C14" s="39" t="s">
        <v>123</v>
      </c>
      <c r="D14" s="21">
        <v>2</v>
      </c>
      <c r="E14" s="20" t="s">
        <v>107</v>
      </c>
      <c r="F14" s="38">
        <v>2</v>
      </c>
      <c r="G14" s="35" t="s">
        <v>124</v>
      </c>
      <c r="H14" s="21">
        <v>2</v>
      </c>
    </row>
    <row r="15" spans="1:8" x14ac:dyDescent="0.25">
      <c r="A15" s="20" t="s">
        <v>21</v>
      </c>
      <c r="B15" s="21">
        <v>1</v>
      </c>
      <c r="C15" s="22" t="s">
        <v>110</v>
      </c>
      <c r="D15" s="24">
        <v>3</v>
      </c>
      <c r="E15" s="22" t="s">
        <v>21</v>
      </c>
      <c r="F15" s="21">
        <v>2</v>
      </c>
      <c r="G15" s="22" t="s">
        <v>111</v>
      </c>
      <c r="H15" s="24">
        <v>3</v>
      </c>
    </row>
    <row r="16" spans="1:8" ht="16.5" thickBot="1" x14ac:dyDescent="0.3">
      <c r="A16" s="20"/>
      <c r="B16" s="21"/>
      <c r="C16" s="22"/>
      <c r="D16" s="21">
        <f>SUM(D8:D15)</f>
        <v>20</v>
      </c>
      <c r="E16" s="22"/>
      <c r="F16" s="21"/>
      <c r="G16" s="22"/>
      <c r="H16" s="21">
        <f>SUM(H8:H15)</f>
        <v>20</v>
      </c>
    </row>
    <row r="17" spans="1:9" ht="11.25" customHeight="1" thickTop="1" thickBot="1" x14ac:dyDescent="0.3">
      <c r="A17" s="49" t="s">
        <v>22</v>
      </c>
      <c r="B17" s="49"/>
      <c r="C17" s="49"/>
      <c r="D17" s="49"/>
      <c r="E17" s="49"/>
      <c r="F17" s="49"/>
      <c r="G17" s="49"/>
      <c r="H17" s="49"/>
    </row>
    <row r="18" spans="1:9" s="1" customFormat="1" ht="15.75" customHeight="1" thickTop="1" x14ac:dyDescent="0.25">
      <c r="A18" s="52" t="s">
        <v>23</v>
      </c>
      <c r="B18" s="52"/>
      <c r="C18" s="48" t="s">
        <v>6</v>
      </c>
      <c r="D18" s="46"/>
      <c r="E18" s="52" t="s">
        <v>5</v>
      </c>
      <c r="F18" s="52"/>
      <c r="G18" s="48" t="s">
        <v>6</v>
      </c>
      <c r="H18" s="46"/>
    </row>
    <row r="19" spans="1:9" ht="14.25" customHeight="1" x14ac:dyDescent="0.25">
      <c r="A19" s="22" t="s">
        <v>7</v>
      </c>
      <c r="B19" s="21">
        <v>3</v>
      </c>
      <c r="C19" s="22" t="s">
        <v>24</v>
      </c>
      <c r="D19" s="21" t="s">
        <v>103</v>
      </c>
      <c r="E19" s="22" t="s">
        <v>7</v>
      </c>
      <c r="F19" s="21">
        <v>4</v>
      </c>
      <c r="G19" s="22" t="s">
        <v>25</v>
      </c>
      <c r="H19" s="21" t="s">
        <v>103</v>
      </c>
    </row>
    <row r="20" spans="1:9" ht="12.75" customHeight="1" x14ac:dyDescent="0.25">
      <c r="A20" s="22" t="s">
        <v>10</v>
      </c>
      <c r="B20" s="21">
        <v>9</v>
      </c>
      <c r="C20" s="16" t="s">
        <v>26</v>
      </c>
      <c r="D20" s="21">
        <v>3</v>
      </c>
      <c r="E20" s="29" t="s">
        <v>10</v>
      </c>
      <c r="F20" s="21">
        <v>7</v>
      </c>
      <c r="G20" s="22" t="s">
        <v>16</v>
      </c>
      <c r="H20" s="23">
        <v>3</v>
      </c>
      <c r="I20" s="29"/>
    </row>
    <row r="21" spans="1:9" ht="15" customHeight="1" x14ac:dyDescent="0.25">
      <c r="A21" s="16" t="s">
        <v>10</v>
      </c>
      <c r="B21" s="23">
        <v>11</v>
      </c>
      <c r="C21" s="16" t="s">
        <v>105</v>
      </c>
      <c r="D21" s="23">
        <v>3</v>
      </c>
      <c r="E21" s="22" t="s">
        <v>10</v>
      </c>
      <c r="F21" s="21">
        <v>8</v>
      </c>
      <c r="G21" s="22" t="s">
        <v>18</v>
      </c>
      <c r="H21" s="21">
        <v>3</v>
      </c>
    </row>
    <row r="22" spans="1:9" x14ac:dyDescent="0.25">
      <c r="A22" s="16" t="s">
        <v>10</v>
      </c>
      <c r="B22" s="23">
        <v>12</v>
      </c>
      <c r="C22" s="16" t="s">
        <v>106</v>
      </c>
      <c r="D22" s="21">
        <v>3</v>
      </c>
      <c r="E22" s="16" t="s">
        <v>10</v>
      </c>
      <c r="F22" s="23">
        <v>10</v>
      </c>
      <c r="G22" s="16" t="s">
        <v>104</v>
      </c>
      <c r="H22" s="21">
        <v>3</v>
      </c>
    </row>
    <row r="23" spans="1:9" s="18" customFormat="1" x14ac:dyDescent="0.25">
      <c r="A23" s="16" t="s">
        <v>27</v>
      </c>
      <c r="B23" s="23">
        <v>3</v>
      </c>
      <c r="C23" s="16" t="s">
        <v>29</v>
      </c>
      <c r="D23" s="23">
        <v>3</v>
      </c>
      <c r="E23" s="18" t="s">
        <v>19</v>
      </c>
      <c r="F23" s="14">
        <v>2</v>
      </c>
      <c r="G23" s="18" t="s">
        <v>117</v>
      </c>
      <c r="H23" s="21">
        <v>3</v>
      </c>
    </row>
    <row r="24" spans="1:9" s="18" customFormat="1" ht="16.5" x14ac:dyDescent="0.25">
      <c r="A24" s="15" t="s">
        <v>27</v>
      </c>
      <c r="B24" s="17">
        <v>4</v>
      </c>
      <c r="C24" s="34" t="s">
        <v>41</v>
      </c>
      <c r="D24" s="17">
        <v>3</v>
      </c>
      <c r="E24" s="16" t="s">
        <v>31</v>
      </c>
      <c r="F24" s="23">
        <v>3</v>
      </c>
      <c r="G24" s="16" t="s">
        <v>34</v>
      </c>
      <c r="H24" s="23">
        <v>3</v>
      </c>
    </row>
    <row r="25" spans="1:9" x14ac:dyDescent="0.25">
      <c r="A25" s="18" t="s">
        <v>31</v>
      </c>
      <c r="B25" s="14">
        <v>2</v>
      </c>
      <c r="C25" s="18" t="s">
        <v>32</v>
      </c>
      <c r="D25" s="14">
        <v>3</v>
      </c>
      <c r="E25" s="16" t="s">
        <v>31</v>
      </c>
      <c r="F25" s="23">
        <v>4</v>
      </c>
      <c r="G25" s="16" t="s">
        <v>48</v>
      </c>
      <c r="H25" s="21">
        <v>3</v>
      </c>
    </row>
    <row r="26" spans="1:9" ht="30" customHeight="1" x14ac:dyDescent="0.25">
      <c r="A26" s="37" t="s">
        <v>107</v>
      </c>
      <c r="B26" s="38">
        <v>3</v>
      </c>
      <c r="C26" s="39" t="s">
        <v>121</v>
      </c>
      <c r="D26" s="24">
        <v>2</v>
      </c>
      <c r="E26" s="37" t="s">
        <v>107</v>
      </c>
      <c r="F26" s="38">
        <v>4</v>
      </c>
      <c r="G26" s="39" t="s">
        <v>122</v>
      </c>
      <c r="H26" s="24">
        <v>2</v>
      </c>
    </row>
    <row r="27" spans="1:9" ht="16.5" thickBot="1" x14ac:dyDescent="0.3">
      <c r="D27" s="21">
        <f>SUM(D19:D26)</f>
        <v>20</v>
      </c>
      <c r="H27" s="23">
        <f>SUM(H19:H26)</f>
        <v>20</v>
      </c>
    </row>
    <row r="28" spans="1:9" ht="17.25" thickTop="1" thickBot="1" x14ac:dyDescent="0.3">
      <c r="A28" s="49" t="s">
        <v>35</v>
      </c>
      <c r="B28" s="49"/>
      <c r="C28" s="49"/>
      <c r="D28" s="49"/>
      <c r="E28" s="49"/>
      <c r="F28" s="49"/>
      <c r="G28" s="49"/>
      <c r="H28" s="49"/>
    </row>
    <row r="29" spans="1:9" s="1" customFormat="1" ht="13.5" thickTop="1" x14ac:dyDescent="0.25">
      <c r="A29" s="52" t="s">
        <v>23</v>
      </c>
      <c r="B29" s="52"/>
      <c r="C29" s="48" t="s">
        <v>6</v>
      </c>
      <c r="D29" s="46"/>
      <c r="E29" s="52" t="s">
        <v>5</v>
      </c>
      <c r="F29" s="52"/>
      <c r="G29" s="48" t="s">
        <v>6</v>
      </c>
      <c r="H29" s="46"/>
    </row>
    <row r="30" spans="1:9" ht="31.5" x14ac:dyDescent="0.25">
      <c r="A30" s="22" t="s">
        <v>7</v>
      </c>
      <c r="B30" s="21">
        <v>5</v>
      </c>
      <c r="C30" s="22" t="s">
        <v>36</v>
      </c>
      <c r="D30" s="21" t="s">
        <v>103</v>
      </c>
      <c r="E30" s="22" t="s">
        <v>7</v>
      </c>
      <c r="F30" s="21">
        <v>6</v>
      </c>
      <c r="G30" s="35" t="s">
        <v>37</v>
      </c>
      <c r="H30" s="21" t="s">
        <v>103</v>
      </c>
    </row>
    <row r="31" spans="1:9" x14ac:dyDescent="0.25">
      <c r="A31" s="16" t="s">
        <v>38</v>
      </c>
      <c r="B31" s="23">
        <v>2</v>
      </c>
      <c r="C31" s="16" t="s">
        <v>39</v>
      </c>
      <c r="D31" s="21">
        <v>3</v>
      </c>
      <c r="E31" s="15" t="s">
        <v>38</v>
      </c>
      <c r="F31" s="17">
        <v>1</v>
      </c>
      <c r="G31" s="15" t="s">
        <v>42</v>
      </c>
      <c r="H31" s="17">
        <v>3</v>
      </c>
    </row>
    <row r="32" spans="1:9" s="18" customFormat="1" x14ac:dyDescent="0.25">
      <c r="A32" s="18" t="s">
        <v>129</v>
      </c>
      <c r="B32" s="14">
        <v>3</v>
      </c>
      <c r="C32" s="18" t="s">
        <v>128</v>
      </c>
      <c r="D32" s="60">
        <v>3</v>
      </c>
      <c r="E32" s="22" t="s">
        <v>31</v>
      </c>
      <c r="F32" s="23">
        <v>6</v>
      </c>
      <c r="G32" s="22" t="s">
        <v>44</v>
      </c>
      <c r="H32" s="23">
        <v>3</v>
      </c>
    </row>
    <row r="33" spans="1:8" x14ac:dyDescent="0.25">
      <c r="A33" s="16" t="s">
        <v>27</v>
      </c>
      <c r="B33" s="23">
        <v>5</v>
      </c>
      <c r="C33" s="16" t="s">
        <v>43</v>
      </c>
      <c r="D33" s="23">
        <v>3</v>
      </c>
      <c r="E33" s="22" t="s">
        <v>46</v>
      </c>
      <c r="F33" s="21">
        <v>7</v>
      </c>
      <c r="G33" s="22" t="s">
        <v>47</v>
      </c>
      <c r="H33" s="59">
        <v>3</v>
      </c>
    </row>
    <row r="34" spans="1:8" x14ac:dyDescent="0.25">
      <c r="A34" s="16" t="s">
        <v>27</v>
      </c>
      <c r="B34" s="23">
        <v>6</v>
      </c>
      <c r="C34" s="22" t="s">
        <v>45</v>
      </c>
      <c r="D34" s="21">
        <v>3</v>
      </c>
      <c r="E34" s="15" t="s">
        <v>31</v>
      </c>
      <c r="F34" s="14">
        <v>8</v>
      </c>
      <c r="G34" s="15" t="s">
        <v>53</v>
      </c>
      <c r="H34" s="17">
        <v>3</v>
      </c>
    </row>
    <row r="35" spans="1:8" x14ac:dyDescent="0.25">
      <c r="A35" s="22" t="s">
        <v>27</v>
      </c>
      <c r="B35" s="21">
        <v>7</v>
      </c>
      <c r="C35" s="22" t="s">
        <v>40</v>
      </c>
      <c r="D35" s="23">
        <v>3</v>
      </c>
      <c r="E35" s="22" t="s">
        <v>31</v>
      </c>
      <c r="F35" s="21">
        <v>9</v>
      </c>
      <c r="G35" s="22" t="s">
        <v>55</v>
      </c>
      <c r="H35" s="21">
        <v>3</v>
      </c>
    </row>
    <row r="36" spans="1:8" x14ac:dyDescent="0.25">
      <c r="A36" s="22" t="s">
        <v>31</v>
      </c>
      <c r="B36" s="31">
        <v>5</v>
      </c>
      <c r="C36" s="22" t="s">
        <v>51</v>
      </c>
      <c r="D36" s="61">
        <v>3</v>
      </c>
      <c r="E36" s="18" t="s">
        <v>31</v>
      </c>
      <c r="F36" s="14">
        <v>10</v>
      </c>
      <c r="G36" s="22" t="s">
        <v>50</v>
      </c>
      <c r="H36" s="61">
        <v>3</v>
      </c>
    </row>
    <row r="37" spans="1:8" ht="16.5" thickBot="1" x14ac:dyDescent="0.3">
      <c r="A37" s="22"/>
      <c r="B37" s="31"/>
      <c r="C37" s="22"/>
      <c r="D37" s="21">
        <f>SUM(D31:D36)</f>
        <v>18</v>
      </c>
      <c r="E37" s="22"/>
      <c r="F37" s="21"/>
      <c r="G37" s="22"/>
      <c r="H37" s="23">
        <f>SUM(H31:H36)</f>
        <v>18</v>
      </c>
    </row>
    <row r="38" spans="1:8" ht="17.25" thickTop="1" thickBot="1" x14ac:dyDescent="0.3">
      <c r="A38" s="49" t="s">
        <v>52</v>
      </c>
      <c r="B38" s="49"/>
      <c r="C38" s="49"/>
      <c r="D38" s="49"/>
      <c r="E38" s="49"/>
      <c r="F38" s="49"/>
      <c r="G38" s="49"/>
      <c r="H38" s="49"/>
    </row>
    <row r="39" spans="1:8" ht="16.5" thickTop="1" x14ac:dyDescent="0.25">
      <c r="A39" s="53" t="s">
        <v>23</v>
      </c>
      <c r="B39" s="53"/>
      <c r="C39" s="30" t="s">
        <v>6</v>
      </c>
      <c r="D39" s="19"/>
      <c r="E39" s="53" t="s">
        <v>5</v>
      </c>
      <c r="F39" s="53"/>
      <c r="G39" s="30" t="s">
        <v>6</v>
      </c>
      <c r="H39" s="19"/>
    </row>
    <row r="40" spans="1:8" s="18" customFormat="1" x14ac:dyDescent="0.25">
      <c r="A40" s="15" t="s">
        <v>31</v>
      </c>
      <c r="B40" s="17">
        <v>11</v>
      </c>
      <c r="C40" s="15" t="s">
        <v>57</v>
      </c>
      <c r="D40" s="59">
        <v>3</v>
      </c>
      <c r="E40" s="15" t="s">
        <v>31</v>
      </c>
      <c r="F40" s="17">
        <v>13</v>
      </c>
      <c r="G40" s="15" t="s">
        <v>56</v>
      </c>
      <c r="H40" s="17">
        <v>6</v>
      </c>
    </row>
    <row r="41" spans="1:8" s="18" customFormat="1" x14ac:dyDescent="0.25">
      <c r="A41" s="18" t="s">
        <v>31</v>
      </c>
      <c r="B41" s="14">
        <v>12</v>
      </c>
      <c r="C41" s="18" t="s">
        <v>54</v>
      </c>
      <c r="D41" s="17">
        <v>3</v>
      </c>
      <c r="E41" s="15"/>
      <c r="F41" s="17"/>
      <c r="G41" s="15"/>
      <c r="H41" s="25">
        <f>SUM(H40)</f>
        <v>6</v>
      </c>
    </row>
    <row r="42" spans="1:8" s="18" customFormat="1" x14ac:dyDescent="0.25">
      <c r="A42" s="15" t="s">
        <v>27</v>
      </c>
      <c r="B42" s="17">
        <v>8</v>
      </c>
      <c r="C42" s="15" t="s">
        <v>120</v>
      </c>
      <c r="D42" s="17">
        <v>3</v>
      </c>
    </row>
    <row r="43" spans="1:8" s="18" customFormat="1" x14ac:dyDescent="0.25">
      <c r="A43" s="22"/>
      <c r="B43" s="21"/>
      <c r="C43" s="22"/>
      <c r="D43" s="32">
        <f>SUM(D40:D42)</f>
        <v>9</v>
      </c>
      <c r="E43" s="15"/>
      <c r="F43" s="14"/>
      <c r="H43" s="14"/>
    </row>
    <row r="44" spans="1:8" x14ac:dyDescent="0.25">
      <c r="B44" s="16"/>
      <c r="E44" s="22"/>
      <c r="H44" s="23"/>
    </row>
    <row r="45" spans="1:8" x14ac:dyDescent="0.25">
      <c r="A45" s="22"/>
      <c r="B45" s="21"/>
      <c r="C45" s="22"/>
      <c r="D45" s="21"/>
      <c r="E45" s="22"/>
      <c r="H45" s="23"/>
    </row>
    <row r="46" spans="1:8" x14ac:dyDescent="0.25">
      <c r="C46" s="22"/>
      <c r="D46" s="23"/>
      <c r="H46" s="23"/>
    </row>
    <row r="47" spans="1:8" x14ac:dyDescent="0.25">
      <c r="H47" s="16" t="s">
        <v>59</v>
      </c>
    </row>
    <row r="48" spans="1:8" x14ac:dyDescent="0.25">
      <c r="A48" s="33"/>
    </row>
  </sheetData>
  <mergeCells count="16">
    <mergeCell ref="A29:B29"/>
    <mergeCell ref="E29:F29"/>
    <mergeCell ref="A38:H38"/>
    <mergeCell ref="A39:B39"/>
    <mergeCell ref="E39:F39"/>
    <mergeCell ref="A28:H28"/>
    <mergeCell ref="A1:H1"/>
    <mergeCell ref="A3:H3"/>
    <mergeCell ref="A4:H4"/>
    <mergeCell ref="A6:H6"/>
    <mergeCell ref="A2:H2"/>
    <mergeCell ref="A7:B7"/>
    <mergeCell ref="E7:F7"/>
    <mergeCell ref="A17:H17"/>
    <mergeCell ref="A18:B18"/>
    <mergeCell ref="E18:F18"/>
  </mergeCells>
  <pageMargins left="0.31" right="0.24" top="0.75" bottom="0.75" header="0.3" footer="0.3"/>
  <pageSetup paperSize="14" scale="94" fitToHeight="0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E20E4-F318-4DA5-ADB8-64B6357E070B}">
  <dimension ref="A1:K83"/>
  <sheetViews>
    <sheetView tabSelected="1" topLeftCell="A73" workbookViewId="0">
      <selection activeCell="F83" sqref="F83:G83"/>
    </sheetView>
  </sheetViews>
  <sheetFormatPr defaultColWidth="9.28515625" defaultRowHeight="15" x14ac:dyDescent="0.25"/>
  <cols>
    <col min="1" max="1" width="1.7109375" style="2" customWidth="1"/>
    <col min="2" max="2" width="9.28515625" style="2" customWidth="1"/>
    <col min="3" max="3" width="4.42578125" style="45" customWidth="1"/>
    <col min="4" max="4" width="50.42578125" style="2" customWidth="1"/>
    <col min="5" max="5" width="7.28515625" style="2" customWidth="1"/>
    <col min="6" max="6" width="7.7109375" style="2" customWidth="1"/>
    <col min="7" max="7" width="5.28515625" style="11" customWidth="1"/>
    <col min="8" max="8" width="6.28515625" style="11" customWidth="1"/>
    <col min="9" max="9" width="3.7109375" style="2" customWidth="1"/>
    <col min="10" max="16384" width="9.28515625" style="2"/>
  </cols>
  <sheetData>
    <row r="1" spans="1:11" ht="18.75" x14ac:dyDescent="0.3">
      <c r="A1" s="57" t="s">
        <v>60</v>
      </c>
      <c r="B1" s="57"/>
      <c r="C1" s="57"/>
      <c r="D1" s="57"/>
      <c r="E1" s="57"/>
      <c r="F1" s="57"/>
      <c r="G1" s="57"/>
      <c r="H1" s="57"/>
      <c r="I1" s="57"/>
    </row>
    <row r="2" spans="1:11" ht="15.75" x14ac:dyDescent="0.25">
      <c r="A2" s="54" t="s">
        <v>61</v>
      </c>
      <c r="B2" s="54"/>
      <c r="C2" s="54"/>
      <c r="D2" s="54"/>
      <c r="E2" s="54"/>
      <c r="F2" s="54"/>
      <c r="G2" s="54"/>
      <c r="H2" s="54"/>
      <c r="I2" s="54"/>
      <c r="J2" s="4"/>
      <c r="K2" s="4"/>
    </row>
    <row r="3" spans="1:11" ht="15.75" x14ac:dyDescent="0.25">
      <c r="A3" s="54" t="s">
        <v>62</v>
      </c>
      <c r="B3" s="54"/>
      <c r="C3" s="54"/>
      <c r="D3" s="54"/>
      <c r="E3" s="54"/>
      <c r="F3" s="54"/>
      <c r="G3" s="54"/>
      <c r="H3" s="54"/>
      <c r="I3" s="54"/>
      <c r="J3" s="4"/>
      <c r="K3" s="4"/>
    </row>
    <row r="4" spans="1:11" ht="15.75" x14ac:dyDescent="0.25">
      <c r="A4" s="54" t="s">
        <v>63</v>
      </c>
      <c r="B4" s="54"/>
      <c r="C4" s="54"/>
      <c r="D4" s="54"/>
      <c r="E4" s="54"/>
      <c r="F4" s="54"/>
      <c r="G4" s="54"/>
      <c r="H4" s="54"/>
      <c r="I4" s="54"/>
      <c r="J4" s="4"/>
      <c r="K4" s="4"/>
    </row>
    <row r="5" spans="1:11" ht="15.75" x14ac:dyDescent="0.25">
      <c r="A5" s="4"/>
      <c r="B5" s="3"/>
      <c r="C5" s="3"/>
      <c r="D5" s="3"/>
      <c r="E5" s="3"/>
      <c r="F5" s="3"/>
      <c r="G5" s="5"/>
      <c r="H5" s="5"/>
      <c r="I5" s="3"/>
      <c r="J5" s="4"/>
      <c r="K5" s="4"/>
    </row>
    <row r="6" spans="1:11" ht="15.75" x14ac:dyDescent="0.25">
      <c r="A6" s="56" t="s">
        <v>64</v>
      </c>
      <c r="B6" s="56"/>
      <c r="C6" s="56"/>
      <c r="D6" s="56"/>
      <c r="E6" s="56"/>
      <c r="F6" s="56"/>
      <c r="G6" s="56"/>
      <c r="H6" s="56"/>
      <c r="I6" s="56"/>
      <c r="J6" s="4"/>
      <c r="K6" s="4"/>
    </row>
    <row r="7" spans="1:11" ht="15.75" x14ac:dyDescent="0.25">
      <c r="A7" s="54"/>
      <c r="B7" s="54"/>
      <c r="C7" s="54"/>
      <c r="D7" s="54"/>
      <c r="E7" s="54"/>
      <c r="F7" s="54"/>
      <c r="G7" s="54"/>
      <c r="H7" s="54"/>
      <c r="I7" s="54"/>
      <c r="J7" s="4"/>
      <c r="K7" s="4"/>
    </row>
    <row r="8" spans="1:11" ht="15.75" x14ac:dyDescent="0.25">
      <c r="B8" s="4"/>
      <c r="C8" s="3"/>
      <c r="D8" s="4"/>
      <c r="E8" s="4"/>
      <c r="F8" s="4"/>
      <c r="G8" s="6"/>
      <c r="H8" s="6"/>
      <c r="I8" s="4"/>
      <c r="J8" s="4"/>
      <c r="K8" s="4"/>
    </row>
    <row r="9" spans="1:11" ht="15.75" x14ac:dyDescent="0.25">
      <c r="A9" s="6" t="s">
        <v>65</v>
      </c>
      <c r="B9" s="4"/>
      <c r="C9" s="3"/>
      <c r="D9" s="4"/>
      <c r="E9" s="4"/>
      <c r="F9" s="4"/>
      <c r="G9" s="6">
        <f>SUM(E10:E18,E20:E22)</f>
        <v>36</v>
      </c>
      <c r="H9" s="6" t="s">
        <v>66</v>
      </c>
      <c r="J9" s="4"/>
      <c r="K9" s="4"/>
    </row>
    <row r="10" spans="1:11" ht="15.75" x14ac:dyDescent="0.25">
      <c r="B10" s="4" t="s">
        <v>10</v>
      </c>
      <c r="C10" s="3">
        <v>1</v>
      </c>
      <c r="D10" s="2" t="s">
        <v>11</v>
      </c>
      <c r="E10" s="7">
        <v>3</v>
      </c>
      <c r="F10" s="4" t="s">
        <v>66</v>
      </c>
      <c r="G10" s="6"/>
      <c r="H10" s="6"/>
      <c r="J10" s="4"/>
      <c r="K10" s="4"/>
    </row>
    <row r="11" spans="1:11" ht="15.75" x14ac:dyDescent="0.25">
      <c r="B11" s="4" t="s">
        <v>10</v>
      </c>
      <c r="C11" s="3">
        <v>2</v>
      </c>
      <c r="D11" s="2" t="s">
        <v>67</v>
      </c>
      <c r="E11" s="7">
        <v>3</v>
      </c>
      <c r="F11" s="4" t="s">
        <v>66</v>
      </c>
      <c r="G11" s="6"/>
      <c r="H11" s="6"/>
      <c r="J11" s="4"/>
      <c r="K11" s="4"/>
    </row>
    <row r="12" spans="1:11" ht="15.75" x14ac:dyDescent="0.25">
      <c r="B12" s="4" t="s">
        <v>10</v>
      </c>
      <c r="C12" s="3">
        <v>3</v>
      </c>
      <c r="D12" s="2" t="s">
        <v>15</v>
      </c>
      <c r="E12" s="7">
        <v>3</v>
      </c>
      <c r="F12" s="4" t="s">
        <v>66</v>
      </c>
      <c r="G12" s="6"/>
      <c r="H12" s="6"/>
      <c r="J12" s="4"/>
      <c r="K12" s="4"/>
    </row>
    <row r="13" spans="1:11" ht="15.75" x14ac:dyDescent="0.25">
      <c r="B13" s="4" t="s">
        <v>10</v>
      </c>
      <c r="C13" s="3">
        <v>4</v>
      </c>
      <c r="D13" s="2" t="s">
        <v>17</v>
      </c>
      <c r="E13" s="7">
        <v>3</v>
      </c>
      <c r="F13" s="4" t="s">
        <v>66</v>
      </c>
      <c r="G13" s="6"/>
      <c r="H13" s="6"/>
      <c r="J13" s="4"/>
      <c r="K13" s="4"/>
    </row>
    <row r="14" spans="1:11" ht="15.75" x14ac:dyDescent="0.25">
      <c r="B14" s="4" t="s">
        <v>10</v>
      </c>
      <c r="C14" s="3">
        <v>5</v>
      </c>
      <c r="D14" s="2" t="s">
        <v>12</v>
      </c>
      <c r="E14" s="7">
        <v>3</v>
      </c>
      <c r="F14" s="4" t="s">
        <v>66</v>
      </c>
      <c r="G14" s="6"/>
      <c r="H14" s="6"/>
      <c r="J14" s="4"/>
      <c r="K14" s="4"/>
    </row>
    <row r="15" spans="1:11" ht="15.75" x14ac:dyDescent="0.25">
      <c r="B15" s="4" t="s">
        <v>10</v>
      </c>
      <c r="C15" s="3">
        <v>6</v>
      </c>
      <c r="D15" s="2" t="s">
        <v>14</v>
      </c>
      <c r="E15" s="7">
        <v>3</v>
      </c>
      <c r="F15" s="4" t="s">
        <v>66</v>
      </c>
      <c r="G15" s="6"/>
      <c r="H15" s="6"/>
      <c r="J15" s="4"/>
      <c r="K15" s="4"/>
    </row>
    <row r="16" spans="1:11" ht="15.75" x14ac:dyDescent="0.25">
      <c r="B16" s="4" t="s">
        <v>10</v>
      </c>
      <c r="C16" s="3">
        <v>7</v>
      </c>
      <c r="D16" s="2" t="s">
        <v>16</v>
      </c>
      <c r="E16" s="7">
        <v>3</v>
      </c>
      <c r="F16" s="4" t="s">
        <v>66</v>
      </c>
      <c r="G16" s="6"/>
      <c r="H16" s="6"/>
      <c r="J16" s="4"/>
      <c r="K16" s="4"/>
    </row>
    <row r="17" spans="1:11" ht="15.75" x14ac:dyDescent="0.25">
      <c r="B17" s="4" t="s">
        <v>10</v>
      </c>
      <c r="C17" s="3">
        <v>8</v>
      </c>
      <c r="D17" s="2" t="s">
        <v>18</v>
      </c>
      <c r="E17" s="7">
        <v>3</v>
      </c>
      <c r="F17" s="4" t="s">
        <v>66</v>
      </c>
      <c r="G17" s="6"/>
      <c r="H17" s="6"/>
      <c r="J17" s="4"/>
      <c r="K17" s="4"/>
    </row>
    <row r="18" spans="1:11" ht="15.75" x14ac:dyDescent="0.25">
      <c r="B18" s="4" t="s">
        <v>10</v>
      </c>
      <c r="C18" s="3">
        <v>9</v>
      </c>
      <c r="D18" s="2" t="s">
        <v>26</v>
      </c>
      <c r="E18" s="7">
        <v>3</v>
      </c>
      <c r="F18" s="4" t="s">
        <v>66</v>
      </c>
      <c r="G18" s="6"/>
      <c r="H18" s="6"/>
      <c r="J18" s="4"/>
      <c r="K18" s="4"/>
    </row>
    <row r="19" spans="1:11" ht="15.75" x14ac:dyDescent="0.25">
      <c r="B19" s="4"/>
      <c r="C19" s="6" t="s">
        <v>119</v>
      </c>
      <c r="E19" s="7"/>
      <c r="F19" s="4"/>
      <c r="G19" s="6"/>
      <c r="H19" s="6"/>
      <c r="J19" s="4"/>
      <c r="K19" s="4"/>
    </row>
    <row r="20" spans="1:11" ht="15.75" x14ac:dyDescent="0.25">
      <c r="B20" s="4" t="s">
        <v>10</v>
      </c>
      <c r="C20" s="3">
        <v>10</v>
      </c>
      <c r="D20" s="2" t="s">
        <v>104</v>
      </c>
      <c r="E20" s="7">
        <v>3</v>
      </c>
      <c r="F20" s="4" t="s">
        <v>66</v>
      </c>
      <c r="G20" s="6"/>
      <c r="H20" s="6"/>
      <c r="J20" s="4"/>
      <c r="K20" s="4"/>
    </row>
    <row r="21" spans="1:11" ht="15.75" x14ac:dyDescent="0.25">
      <c r="B21" s="4" t="s">
        <v>10</v>
      </c>
      <c r="C21" s="3">
        <v>11</v>
      </c>
      <c r="D21" s="2" t="s">
        <v>105</v>
      </c>
      <c r="E21" s="7">
        <v>3</v>
      </c>
      <c r="F21" s="4" t="s">
        <v>66</v>
      </c>
      <c r="G21" s="6"/>
      <c r="H21" s="6"/>
      <c r="J21" s="4"/>
      <c r="K21" s="4"/>
    </row>
    <row r="22" spans="1:11" ht="15.75" x14ac:dyDescent="0.25">
      <c r="B22" s="4" t="s">
        <v>10</v>
      </c>
      <c r="C22" s="3">
        <v>12</v>
      </c>
      <c r="D22" s="2" t="s">
        <v>106</v>
      </c>
      <c r="E22" s="7">
        <v>3</v>
      </c>
      <c r="F22" s="4" t="s">
        <v>66</v>
      </c>
      <c r="G22" s="6"/>
      <c r="H22" s="6"/>
      <c r="J22" s="4"/>
      <c r="K22" s="4"/>
    </row>
    <row r="23" spans="1:11" ht="15.75" x14ac:dyDescent="0.25">
      <c r="B23" s="4"/>
      <c r="C23" s="3"/>
      <c r="E23" s="7"/>
      <c r="F23" s="4"/>
      <c r="G23" s="6"/>
      <c r="H23" s="6"/>
      <c r="J23" s="4"/>
      <c r="K23" s="4"/>
    </row>
    <row r="24" spans="1:11" ht="15.75" x14ac:dyDescent="0.25">
      <c r="A24" s="6" t="s">
        <v>75</v>
      </c>
      <c r="B24" s="4"/>
      <c r="C24" s="3"/>
      <c r="D24" s="4"/>
      <c r="E24" s="4"/>
      <c r="F24" s="4"/>
      <c r="G24" s="6">
        <f>E25+E26</f>
        <v>6</v>
      </c>
      <c r="H24" s="6" t="s">
        <v>66</v>
      </c>
      <c r="I24" s="4"/>
      <c r="J24" s="4"/>
      <c r="K24" s="4"/>
    </row>
    <row r="25" spans="1:11" ht="15.75" x14ac:dyDescent="0.25">
      <c r="B25" s="4" t="s">
        <v>21</v>
      </c>
      <c r="C25" s="3">
        <v>1</v>
      </c>
      <c r="D25" s="4" t="s">
        <v>125</v>
      </c>
      <c r="E25" s="4">
        <v>3</v>
      </c>
      <c r="F25" s="4" t="s">
        <v>66</v>
      </c>
      <c r="G25" s="6"/>
      <c r="H25" s="6"/>
      <c r="I25" s="4"/>
      <c r="J25" s="4"/>
      <c r="K25" s="4"/>
    </row>
    <row r="26" spans="1:11" ht="15.75" x14ac:dyDescent="0.25">
      <c r="B26" s="4" t="s">
        <v>21</v>
      </c>
      <c r="C26" s="3">
        <v>2</v>
      </c>
      <c r="D26" s="4" t="s">
        <v>111</v>
      </c>
      <c r="E26" s="4">
        <v>3</v>
      </c>
      <c r="F26" s="4" t="s">
        <v>66</v>
      </c>
      <c r="G26" s="6"/>
      <c r="H26" s="6"/>
      <c r="I26" s="4"/>
      <c r="J26" s="4"/>
      <c r="K26" s="4"/>
    </row>
    <row r="27" spans="1:11" ht="15.75" x14ac:dyDescent="0.25">
      <c r="B27" s="4"/>
      <c r="C27" s="3"/>
      <c r="D27" s="4"/>
      <c r="E27" s="4"/>
      <c r="F27" s="4"/>
      <c r="G27" s="6"/>
      <c r="H27" s="6"/>
      <c r="I27" s="4"/>
      <c r="J27" s="4"/>
      <c r="K27" s="4"/>
    </row>
    <row r="28" spans="1:11" ht="15.75" x14ac:dyDescent="0.25">
      <c r="A28" s="6" t="s">
        <v>74</v>
      </c>
      <c r="B28" s="4"/>
      <c r="C28" s="3"/>
      <c r="D28" s="4"/>
      <c r="E28" s="4"/>
      <c r="F28" s="4"/>
      <c r="G28" s="6">
        <f>SUM(E29:E32)</f>
        <v>8</v>
      </c>
      <c r="H28" s="6" t="s">
        <v>66</v>
      </c>
      <c r="I28" s="4"/>
      <c r="J28" s="4"/>
      <c r="K28" s="4"/>
    </row>
    <row r="29" spans="1:11" s="43" customFormat="1" ht="31.5" x14ac:dyDescent="0.25">
      <c r="A29" s="40"/>
      <c r="B29" s="41" t="s">
        <v>107</v>
      </c>
      <c r="C29" s="44">
        <v>1</v>
      </c>
      <c r="D29" s="41" t="s">
        <v>108</v>
      </c>
      <c r="E29" s="41">
        <v>2</v>
      </c>
      <c r="F29" s="41" t="s">
        <v>66</v>
      </c>
      <c r="G29" s="42"/>
      <c r="H29" s="42"/>
    </row>
    <row r="30" spans="1:11" s="43" customFormat="1" ht="31.5" x14ac:dyDescent="0.25">
      <c r="A30" s="40"/>
      <c r="B30" s="41" t="s">
        <v>107</v>
      </c>
      <c r="C30" s="44">
        <v>2</v>
      </c>
      <c r="D30" s="41" t="s">
        <v>109</v>
      </c>
      <c r="E30" s="41">
        <v>2</v>
      </c>
      <c r="F30" s="41" t="s">
        <v>66</v>
      </c>
      <c r="G30" s="42"/>
      <c r="H30" s="42"/>
    </row>
    <row r="31" spans="1:11" s="43" customFormat="1" ht="31.5" x14ac:dyDescent="0.25">
      <c r="A31" s="40"/>
      <c r="B31" s="41" t="s">
        <v>107</v>
      </c>
      <c r="C31" s="44">
        <v>3</v>
      </c>
      <c r="D31" s="41" t="s">
        <v>112</v>
      </c>
      <c r="E31" s="41">
        <v>2</v>
      </c>
      <c r="F31" s="41" t="s">
        <v>66</v>
      </c>
      <c r="G31" s="42"/>
      <c r="H31" s="42"/>
    </row>
    <row r="32" spans="1:11" s="43" customFormat="1" ht="31.5" x14ac:dyDescent="0.25">
      <c r="A32" s="40"/>
      <c r="B32" s="41" t="s">
        <v>107</v>
      </c>
      <c r="C32" s="44">
        <v>4</v>
      </c>
      <c r="D32" s="41" t="s">
        <v>113</v>
      </c>
      <c r="E32" s="41">
        <v>2</v>
      </c>
      <c r="F32" s="41" t="s">
        <v>66</v>
      </c>
      <c r="G32" s="42"/>
      <c r="H32" s="42"/>
    </row>
    <row r="33" spans="1:11" ht="15.75" x14ac:dyDescent="0.25">
      <c r="B33" s="4"/>
      <c r="C33" s="3"/>
      <c r="D33" s="4"/>
      <c r="E33" s="4"/>
      <c r="F33" s="4"/>
      <c r="G33" s="6"/>
      <c r="H33" s="6"/>
      <c r="I33" s="4"/>
      <c r="J33" s="4"/>
      <c r="K33" s="4"/>
    </row>
    <row r="34" spans="1:11" ht="15.75" x14ac:dyDescent="0.25">
      <c r="A34" s="6" t="s">
        <v>114</v>
      </c>
      <c r="C34" s="3"/>
      <c r="D34" s="4"/>
      <c r="E34" s="4"/>
      <c r="F34" s="4"/>
      <c r="G34" s="6">
        <v>6</v>
      </c>
      <c r="H34" s="6" t="s">
        <v>66</v>
      </c>
      <c r="I34" s="4"/>
      <c r="J34" s="4"/>
      <c r="K34" s="4"/>
    </row>
    <row r="35" spans="1:11" ht="15.75" x14ac:dyDescent="0.25">
      <c r="B35" s="4" t="s">
        <v>116</v>
      </c>
      <c r="C35" s="3">
        <v>1</v>
      </c>
      <c r="D35" s="4" t="s">
        <v>42</v>
      </c>
      <c r="E35" s="4">
        <v>3</v>
      </c>
      <c r="F35" s="4" t="s">
        <v>66</v>
      </c>
      <c r="G35" s="6"/>
      <c r="H35" s="6"/>
      <c r="I35" s="4"/>
      <c r="J35" s="4"/>
      <c r="K35" s="4"/>
    </row>
    <row r="36" spans="1:11" ht="15.75" x14ac:dyDescent="0.25">
      <c r="B36" s="4" t="s">
        <v>116</v>
      </c>
      <c r="C36" s="3">
        <v>2</v>
      </c>
      <c r="D36" s="4" t="s">
        <v>39</v>
      </c>
      <c r="E36" s="4">
        <v>3</v>
      </c>
      <c r="F36" s="4" t="s">
        <v>66</v>
      </c>
      <c r="G36" s="6"/>
      <c r="H36" s="6"/>
      <c r="I36" s="4"/>
      <c r="J36" s="4"/>
      <c r="K36" s="4"/>
    </row>
    <row r="37" spans="1:11" ht="15.75" x14ac:dyDescent="0.25">
      <c r="B37" s="4"/>
      <c r="C37" s="3"/>
      <c r="D37" s="4"/>
      <c r="E37" s="4"/>
      <c r="F37" s="4"/>
      <c r="G37" s="6"/>
      <c r="H37" s="6"/>
      <c r="I37" s="4"/>
      <c r="J37" s="4"/>
      <c r="K37" s="4"/>
    </row>
    <row r="38" spans="1:11" ht="15.75" x14ac:dyDescent="0.25">
      <c r="A38" s="6" t="s">
        <v>69</v>
      </c>
      <c r="B38" s="4"/>
      <c r="C38" s="3"/>
      <c r="D38" s="4"/>
      <c r="E38" s="4"/>
      <c r="F38" s="4"/>
      <c r="G38" s="6">
        <f>SUM(E39:E46)</f>
        <v>24</v>
      </c>
      <c r="H38" s="6" t="s">
        <v>66</v>
      </c>
      <c r="I38" s="4"/>
      <c r="J38" s="4"/>
      <c r="K38" s="4"/>
    </row>
    <row r="39" spans="1:11" ht="15.75" x14ac:dyDescent="0.25">
      <c r="B39" s="4" t="s">
        <v>27</v>
      </c>
      <c r="C39" s="3">
        <v>1</v>
      </c>
      <c r="D39" s="4" t="s">
        <v>30</v>
      </c>
      <c r="E39" s="4">
        <v>3</v>
      </c>
      <c r="F39" s="4" t="s">
        <v>66</v>
      </c>
      <c r="G39" s="6"/>
      <c r="H39" s="6"/>
      <c r="J39" s="4"/>
      <c r="K39" s="4"/>
    </row>
    <row r="40" spans="1:11" ht="15.75" x14ac:dyDescent="0.25">
      <c r="B40" s="4" t="s">
        <v>27</v>
      </c>
      <c r="C40" s="3">
        <v>2</v>
      </c>
      <c r="D40" s="4" t="s">
        <v>28</v>
      </c>
      <c r="E40" s="4">
        <v>3</v>
      </c>
      <c r="F40" s="4" t="s">
        <v>66</v>
      </c>
      <c r="G40" s="6"/>
      <c r="H40" s="6"/>
      <c r="J40" s="4"/>
      <c r="K40" s="4"/>
    </row>
    <row r="41" spans="1:11" ht="15.75" x14ac:dyDescent="0.25">
      <c r="B41" s="4" t="s">
        <v>27</v>
      </c>
      <c r="C41" s="3">
        <v>3</v>
      </c>
      <c r="D41" s="8" t="s">
        <v>70</v>
      </c>
      <c r="E41" s="9">
        <v>3</v>
      </c>
      <c r="F41" s="4" t="s">
        <v>66</v>
      </c>
      <c r="G41" s="6"/>
      <c r="H41" s="6"/>
      <c r="J41" s="4"/>
      <c r="K41" s="4"/>
    </row>
    <row r="42" spans="1:11" ht="15.75" x14ac:dyDescent="0.25">
      <c r="B42" s="4" t="s">
        <v>27</v>
      </c>
      <c r="C42" s="3">
        <v>4</v>
      </c>
      <c r="D42" s="4" t="s">
        <v>71</v>
      </c>
      <c r="E42" s="9">
        <v>3</v>
      </c>
      <c r="F42" s="4" t="s">
        <v>66</v>
      </c>
      <c r="G42" s="6"/>
      <c r="H42" s="6"/>
      <c r="J42" s="4"/>
      <c r="K42" s="4"/>
    </row>
    <row r="43" spans="1:11" ht="15.75" x14ac:dyDescent="0.25">
      <c r="B43" s="4" t="s">
        <v>27</v>
      </c>
      <c r="C43" s="3">
        <v>5</v>
      </c>
      <c r="D43" s="8" t="s">
        <v>43</v>
      </c>
      <c r="E43" s="9">
        <v>3</v>
      </c>
      <c r="F43" s="4" t="s">
        <v>66</v>
      </c>
      <c r="G43" s="6"/>
      <c r="H43" s="6"/>
      <c r="J43" s="4"/>
      <c r="K43" s="4"/>
    </row>
    <row r="44" spans="1:11" ht="15.75" x14ac:dyDescent="0.25">
      <c r="B44" s="4" t="s">
        <v>27</v>
      </c>
      <c r="C44" s="3">
        <v>6</v>
      </c>
      <c r="D44" s="4" t="s">
        <v>45</v>
      </c>
      <c r="E44" s="4">
        <v>3</v>
      </c>
      <c r="F44" s="4" t="s">
        <v>66</v>
      </c>
      <c r="G44" s="6"/>
      <c r="H44" s="6"/>
      <c r="I44" s="4"/>
      <c r="J44" s="4"/>
      <c r="K44" s="4"/>
    </row>
    <row r="45" spans="1:11" ht="15.75" x14ac:dyDescent="0.25">
      <c r="B45" s="4" t="s">
        <v>27</v>
      </c>
      <c r="C45" s="3">
        <v>7</v>
      </c>
      <c r="D45" s="4" t="s">
        <v>40</v>
      </c>
      <c r="E45" s="4">
        <v>3</v>
      </c>
      <c r="F45" s="4" t="s">
        <v>66</v>
      </c>
      <c r="G45" s="10"/>
      <c r="H45" s="6"/>
      <c r="I45" s="4"/>
      <c r="J45" s="4"/>
      <c r="K45" s="4"/>
    </row>
    <row r="46" spans="1:11" ht="15.75" x14ac:dyDescent="0.25">
      <c r="B46" s="4" t="s">
        <v>27</v>
      </c>
      <c r="C46" s="3">
        <v>8</v>
      </c>
      <c r="D46" s="8" t="s">
        <v>58</v>
      </c>
      <c r="E46" s="4">
        <v>3</v>
      </c>
      <c r="F46" s="4" t="s">
        <v>66</v>
      </c>
      <c r="G46" s="6"/>
      <c r="H46" s="6"/>
      <c r="I46" s="4"/>
      <c r="J46" s="4"/>
      <c r="K46" s="4"/>
    </row>
    <row r="47" spans="1:11" ht="15.75" x14ac:dyDescent="0.25">
      <c r="B47" s="4"/>
      <c r="C47" s="3"/>
      <c r="D47" s="8"/>
      <c r="E47" s="4"/>
      <c r="F47" s="4"/>
      <c r="G47" s="6"/>
      <c r="H47" s="6"/>
      <c r="I47" s="4"/>
      <c r="J47" s="4"/>
      <c r="K47" s="4"/>
    </row>
    <row r="48" spans="1:11" ht="15.75" x14ac:dyDescent="0.25">
      <c r="B48" s="4"/>
      <c r="C48" s="3"/>
      <c r="D48" s="8"/>
      <c r="E48" s="4"/>
      <c r="F48" s="4"/>
      <c r="G48" s="6"/>
      <c r="H48" s="6"/>
      <c r="I48" s="4"/>
      <c r="J48" s="4"/>
      <c r="K48" s="4"/>
    </row>
    <row r="49" spans="1:11" ht="15.75" x14ac:dyDescent="0.25">
      <c r="A49" s="6" t="s">
        <v>115</v>
      </c>
      <c r="B49" s="4"/>
      <c r="C49" s="3"/>
      <c r="D49" s="8"/>
      <c r="E49" s="4"/>
      <c r="F49" s="4"/>
      <c r="G49" s="6">
        <f>SUM(E50:E57)</f>
        <v>24</v>
      </c>
      <c r="H49" s="6" t="s">
        <v>66</v>
      </c>
      <c r="I49" s="4"/>
      <c r="J49" s="4"/>
      <c r="K49" s="4"/>
    </row>
    <row r="50" spans="1:11" ht="15.75" x14ac:dyDescent="0.25">
      <c r="B50" s="4" t="s">
        <v>31</v>
      </c>
      <c r="C50" s="3">
        <v>1</v>
      </c>
      <c r="D50" s="4" t="s">
        <v>33</v>
      </c>
      <c r="E50" s="4">
        <v>3</v>
      </c>
      <c r="F50" s="4" t="s">
        <v>66</v>
      </c>
      <c r="G50" s="6"/>
      <c r="H50" s="6"/>
      <c r="I50" s="4"/>
      <c r="J50" s="4"/>
      <c r="K50" s="4"/>
    </row>
    <row r="51" spans="1:11" ht="15.75" x14ac:dyDescent="0.25">
      <c r="B51" s="4" t="s">
        <v>31</v>
      </c>
      <c r="C51" s="3">
        <v>2</v>
      </c>
      <c r="D51" s="4" t="s">
        <v>32</v>
      </c>
      <c r="E51" s="9">
        <v>3</v>
      </c>
      <c r="F51" s="4" t="s">
        <v>66</v>
      </c>
      <c r="G51" s="6"/>
      <c r="H51" s="6"/>
      <c r="I51" s="4"/>
      <c r="J51" s="4"/>
      <c r="K51" s="4"/>
    </row>
    <row r="52" spans="1:11" ht="15.75" x14ac:dyDescent="0.25">
      <c r="B52" s="4" t="s">
        <v>31</v>
      </c>
      <c r="C52" s="3">
        <v>3</v>
      </c>
      <c r="D52" s="4" t="s">
        <v>34</v>
      </c>
      <c r="E52" s="9">
        <v>3</v>
      </c>
      <c r="F52" s="4" t="s">
        <v>66</v>
      </c>
      <c r="H52" s="6"/>
      <c r="I52" s="4"/>
      <c r="J52" s="4"/>
      <c r="K52" s="4"/>
    </row>
    <row r="53" spans="1:11" ht="15.75" x14ac:dyDescent="0.25">
      <c r="B53" s="4" t="s">
        <v>31</v>
      </c>
      <c r="C53" s="3">
        <v>4</v>
      </c>
      <c r="D53" s="4" t="s">
        <v>48</v>
      </c>
      <c r="E53" s="9">
        <v>3</v>
      </c>
      <c r="F53" s="4" t="s">
        <v>66</v>
      </c>
      <c r="H53" s="6"/>
    </row>
    <row r="54" spans="1:11" ht="15.75" x14ac:dyDescent="0.25">
      <c r="B54" s="4" t="s">
        <v>31</v>
      </c>
      <c r="C54" s="3">
        <v>5</v>
      </c>
      <c r="D54" s="4" t="s">
        <v>51</v>
      </c>
      <c r="E54" s="4">
        <v>3</v>
      </c>
      <c r="F54" s="4" t="s">
        <v>66</v>
      </c>
      <c r="H54" s="6"/>
    </row>
    <row r="55" spans="1:11" ht="15.75" x14ac:dyDescent="0.25">
      <c r="B55" s="4" t="s">
        <v>31</v>
      </c>
      <c r="C55" s="3">
        <v>6</v>
      </c>
      <c r="D55" s="4" t="s">
        <v>44</v>
      </c>
      <c r="E55" s="4">
        <v>3</v>
      </c>
      <c r="F55" s="4" t="s">
        <v>66</v>
      </c>
      <c r="H55" s="6"/>
    </row>
    <row r="56" spans="1:11" ht="15.75" x14ac:dyDescent="0.25">
      <c r="B56" s="4" t="s">
        <v>31</v>
      </c>
      <c r="C56" s="3">
        <v>7</v>
      </c>
      <c r="D56" s="4" t="s">
        <v>47</v>
      </c>
      <c r="E56" s="4">
        <v>3</v>
      </c>
      <c r="F56" s="4" t="s">
        <v>66</v>
      </c>
      <c r="G56" s="6"/>
      <c r="H56" s="6"/>
    </row>
    <row r="57" spans="1:11" ht="15.75" x14ac:dyDescent="0.25">
      <c r="B57" s="4" t="s">
        <v>31</v>
      </c>
      <c r="C57" s="3">
        <v>8</v>
      </c>
      <c r="D57" s="4" t="s">
        <v>53</v>
      </c>
      <c r="E57" s="4">
        <v>3</v>
      </c>
      <c r="F57" s="4" t="s">
        <v>66</v>
      </c>
      <c r="G57" s="6"/>
      <c r="H57" s="6"/>
    </row>
    <row r="58" spans="1:11" ht="15.75" x14ac:dyDescent="0.25">
      <c r="B58" s="4"/>
      <c r="C58" s="3"/>
      <c r="D58" s="4"/>
      <c r="E58" s="4"/>
      <c r="F58" s="4"/>
      <c r="G58" s="6"/>
      <c r="H58" s="6"/>
    </row>
    <row r="59" spans="1:11" ht="15.75" x14ac:dyDescent="0.25">
      <c r="B59" s="6" t="s">
        <v>118</v>
      </c>
      <c r="C59" s="3"/>
      <c r="D59" s="4"/>
      <c r="E59" s="4"/>
      <c r="F59" s="4"/>
      <c r="G59" s="6"/>
      <c r="H59" s="6"/>
    </row>
    <row r="60" spans="1:11" ht="15.75" x14ac:dyDescent="0.25">
      <c r="B60" s="4" t="s">
        <v>31</v>
      </c>
      <c r="C60" s="3">
        <v>9</v>
      </c>
      <c r="D60" s="4" t="s">
        <v>55</v>
      </c>
      <c r="E60" s="9">
        <v>3</v>
      </c>
      <c r="F60" s="4" t="s">
        <v>66</v>
      </c>
      <c r="G60" s="6">
        <f>SUM(E60:E63)</f>
        <v>12</v>
      </c>
      <c r="H60" s="6" t="s">
        <v>66</v>
      </c>
    </row>
    <row r="61" spans="1:11" ht="15.75" x14ac:dyDescent="0.25">
      <c r="B61" s="4" t="s">
        <v>31</v>
      </c>
      <c r="C61" s="3">
        <v>10</v>
      </c>
      <c r="D61" s="4" t="s">
        <v>50</v>
      </c>
      <c r="E61" s="9">
        <v>3</v>
      </c>
      <c r="F61" s="4" t="s">
        <v>66</v>
      </c>
      <c r="G61" s="6"/>
      <c r="H61" s="6"/>
    </row>
    <row r="62" spans="1:11" ht="15.75" x14ac:dyDescent="0.25">
      <c r="B62" s="4" t="s">
        <v>31</v>
      </c>
      <c r="C62" s="3">
        <v>11</v>
      </c>
      <c r="D62" s="4" t="s">
        <v>57</v>
      </c>
      <c r="E62" s="9">
        <v>3</v>
      </c>
      <c r="F62" s="4" t="s">
        <v>66</v>
      </c>
      <c r="G62" s="6"/>
      <c r="H62" s="6"/>
    </row>
    <row r="63" spans="1:11" ht="15.75" x14ac:dyDescent="0.25">
      <c r="B63" s="4" t="s">
        <v>31</v>
      </c>
      <c r="C63" s="3">
        <v>12</v>
      </c>
      <c r="D63" s="4" t="s">
        <v>54</v>
      </c>
      <c r="E63" s="4">
        <v>3</v>
      </c>
      <c r="F63" s="4" t="s">
        <v>66</v>
      </c>
      <c r="G63" s="6"/>
      <c r="H63" s="6"/>
    </row>
    <row r="64" spans="1:11" ht="15.75" x14ac:dyDescent="0.25">
      <c r="B64" s="4"/>
      <c r="C64" s="3"/>
      <c r="D64" s="4"/>
      <c r="E64" s="4"/>
      <c r="F64" s="4"/>
      <c r="G64" s="6"/>
      <c r="H64" s="6"/>
    </row>
    <row r="65" spans="1:11" ht="15.75" x14ac:dyDescent="0.25">
      <c r="A65" s="6" t="s">
        <v>72</v>
      </c>
      <c r="B65" s="4"/>
      <c r="C65" s="3"/>
      <c r="D65" s="4"/>
      <c r="E65" s="4"/>
      <c r="F65" s="4"/>
      <c r="G65" s="6">
        <v>6</v>
      </c>
      <c r="H65" s="6" t="s">
        <v>66</v>
      </c>
    </row>
    <row r="66" spans="1:11" ht="15.75" x14ac:dyDescent="0.25">
      <c r="B66" s="4" t="s">
        <v>46</v>
      </c>
      <c r="C66" s="3">
        <v>13</v>
      </c>
      <c r="D66" s="4" t="s">
        <v>56</v>
      </c>
      <c r="E66" s="4">
        <v>6</v>
      </c>
      <c r="F66" s="4" t="s">
        <v>66</v>
      </c>
      <c r="G66" s="6"/>
      <c r="H66" s="6"/>
    </row>
    <row r="67" spans="1:11" ht="15.75" x14ac:dyDescent="0.25">
      <c r="B67" s="4"/>
      <c r="C67" s="3"/>
      <c r="D67" s="4"/>
      <c r="E67" s="4"/>
      <c r="F67" s="4"/>
      <c r="G67" s="6"/>
      <c r="H67" s="6"/>
    </row>
    <row r="68" spans="1:11" s="4" customFormat="1" ht="15.75" x14ac:dyDescent="0.25">
      <c r="A68" s="6" t="s">
        <v>127</v>
      </c>
      <c r="C68" s="3"/>
      <c r="G68" s="7"/>
      <c r="H68" s="7"/>
    </row>
    <row r="69" spans="1:11" s="4" customFormat="1" ht="14.25" customHeight="1" x14ac:dyDescent="0.25">
      <c r="C69" s="3"/>
      <c r="E69" s="7"/>
      <c r="G69" s="7"/>
      <c r="H69" s="7"/>
    </row>
    <row r="70" spans="1:11" s="6" customFormat="1" ht="15.75" x14ac:dyDescent="0.25">
      <c r="B70" s="6" t="s">
        <v>76</v>
      </c>
      <c r="C70" s="5"/>
      <c r="E70" s="12"/>
      <c r="G70" s="12">
        <f>SUM(E71:E76)</f>
        <v>12</v>
      </c>
      <c r="H70" s="12" t="s">
        <v>66</v>
      </c>
    </row>
    <row r="71" spans="1:11" s="4" customFormat="1" ht="15.75" x14ac:dyDescent="0.25">
      <c r="B71" s="4" t="s">
        <v>77</v>
      </c>
      <c r="C71" s="3"/>
      <c r="D71" s="4" t="s">
        <v>8</v>
      </c>
      <c r="E71" s="7">
        <v>2</v>
      </c>
      <c r="F71" s="4" t="s">
        <v>66</v>
      </c>
      <c r="G71" s="7"/>
      <c r="H71" s="7"/>
    </row>
    <row r="72" spans="1:11" s="4" customFormat="1" ht="15.75" x14ac:dyDescent="0.25">
      <c r="B72" s="4" t="s">
        <v>78</v>
      </c>
      <c r="C72" s="3"/>
      <c r="D72" s="4" t="s">
        <v>9</v>
      </c>
      <c r="E72" s="7">
        <v>2</v>
      </c>
      <c r="F72" s="4" t="s">
        <v>66</v>
      </c>
      <c r="G72" s="7"/>
      <c r="H72" s="7"/>
    </row>
    <row r="73" spans="1:11" s="4" customFormat="1" ht="15.75" x14ac:dyDescent="0.25">
      <c r="B73" s="4" t="s">
        <v>79</v>
      </c>
      <c r="C73" s="3"/>
      <c r="D73" s="4" t="s">
        <v>80</v>
      </c>
      <c r="E73" s="7">
        <v>2</v>
      </c>
      <c r="F73" s="4" t="s">
        <v>66</v>
      </c>
      <c r="G73" s="7"/>
      <c r="H73" s="7"/>
    </row>
    <row r="74" spans="1:11" s="4" customFormat="1" ht="15.75" x14ac:dyDescent="0.25">
      <c r="B74" s="4" t="s">
        <v>81</v>
      </c>
      <c r="C74" s="3"/>
      <c r="D74" s="4" t="s">
        <v>25</v>
      </c>
      <c r="E74" s="7">
        <v>2</v>
      </c>
      <c r="F74" s="4" t="s">
        <v>66</v>
      </c>
      <c r="G74" s="7"/>
      <c r="H74" s="7"/>
    </row>
    <row r="75" spans="1:11" s="4" customFormat="1" ht="15.75" x14ac:dyDescent="0.25">
      <c r="B75" s="4" t="s">
        <v>82</v>
      </c>
      <c r="C75" s="3"/>
      <c r="D75" s="4" t="s">
        <v>36</v>
      </c>
      <c r="E75" s="7">
        <v>2</v>
      </c>
      <c r="F75" s="4" t="s">
        <v>66</v>
      </c>
      <c r="G75" s="7"/>
      <c r="H75" s="7"/>
    </row>
    <row r="76" spans="1:11" s="4" customFormat="1" ht="15.75" x14ac:dyDescent="0.25">
      <c r="B76" s="4" t="s">
        <v>83</v>
      </c>
      <c r="C76" s="3"/>
      <c r="D76" s="4" t="s">
        <v>84</v>
      </c>
      <c r="E76" s="7">
        <v>2</v>
      </c>
      <c r="F76" s="4" t="s">
        <v>66</v>
      </c>
      <c r="G76" s="7"/>
      <c r="H76" s="7"/>
    </row>
    <row r="77" spans="1:11" s="4" customFormat="1" ht="15.75" x14ac:dyDescent="0.25">
      <c r="C77" s="3"/>
      <c r="G77" s="7"/>
      <c r="H77" s="7"/>
    </row>
    <row r="78" spans="1:11" ht="15.75" x14ac:dyDescent="0.25">
      <c r="B78" s="6" t="s">
        <v>73</v>
      </c>
      <c r="C78" s="3"/>
      <c r="E78" s="7"/>
      <c r="F78" s="4"/>
      <c r="G78" s="6">
        <f>SUM(E79:E81)</f>
        <v>9</v>
      </c>
      <c r="H78" s="6" t="s">
        <v>66</v>
      </c>
      <c r="J78" s="4"/>
      <c r="K78" s="4"/>
    </row>
    <row r="79" spans="1:11" ht="15.75" x14ac:dyDescent="0.25">
      <c r="B79" s="4" t="s">
        <v>19</v>
      </c>
      <c r="C79" s="3">
        <v>1</v>
      </c>
      <c r="D79" s="4" t="s">
        <v>20</v>
      </c>
      <c r="E79" s="4">
        <v>3</v>
      </c>
      <c r="F79" s="4" t="s">
        <v>66</v>
      </c>
      <c r="G79" s="6"/>
      <c r="H79" s="6"/>
      <c r="J79" s="4"/>
      <c r="K79" s="4"/>
    </row>
    <row r="80" spans="1:11" ht="14.25" customHeight="1" x14ac:dyDescent="0.25">
      <c r="B80" s="4" t="s">
        <v>19</v>
      </c>
      <c r="C80" s="3">
        <v>2</v>
      </c>
      <c r="D80" s="4" t="s">
        <v>117</v>
      </c>
      <c r="E80" s="7">
        <v>3</v>
      </c>
      <c r="F80" s="4" t="s">
        <v>66</v>
      </c>
      <c r="G80" s="6"/>
      <c r="H80" s="6"/>
      <c r="J80" s="4"/>
      <c r="K80" s="4"/>
    </row>
    <row r="81" spans="2:11" ht="14.25" customHeight="1" x14ac:dyDescent="0.25">
      <c r="B81" s="4" t="s">
        <v>19</v>
      </c>
      <c r="C81" s="3">
        <v>3</v>
      </c>
      <c r="D81" s="58" t="s">
        <v>128</v>
      </c>
      <c r="E81" s="7">
        <v>3</v>
      </c>
      <c r="F81" s="4" t="s">
        <v>66</v>
      </c>
      <c r="G81" s="6"/>
      <c r="H81" s="6"/>
      <c r="J81" s="4"/>
      <c r="K81" s="4"/>
    </row>
    <row r="82" spans="2:11" ht="14.25" customHeight="1" x14ac:dyDescent="0.25">
      <c r="B82" s="4"/>
      <c r="C82" s="3"/>
      <c r="D82" s="58"/>
      <c r="E82" s="7"/>
      <c r="F82" s="4"/>
      <c r="G82" s="6"/>
      <c r="H82" s="6"/>
      <c r="J82" s="4"/>
      <c r="K82" s="4"/>
    </row>
    <row r="83" spans="2:11" s="4" customFormat="1" ht="15.75" x14ac:dyDescent="0.25">
      <c r="B83" s="6" t="s">
        <v>85</v>
      </c>
      <c r="C83" s="3"/>
      <c r="F83" s="55">
        <f>SUM(G9:G82)</f>
        <v>143</v>
      </c>
      <c r="G83" s="55"/>
      <c r="H83" s="12" t="s">
        <v>66</v>
      </c>
    </row>
  </sheetData>
  <mergeCells count="7">
    <mergeCell ref="F83:G83"/>
    <mergeCell ref="A7:I7"/>
    <mergeCell ref="A6:I6"/>
    <mergeCell ref="A1:I1"/>
    <mergeCell ref="A2:I2"/>
    <mergeCell ref="A3:I3"/>
    <mergeCell ref="A4:I4"/>
  </mergeCells>
  <pageMargins left="0.61" right="0.38" top="0.75" bottom="0.75" header="0.3" footer="0.3"/>
  <pageSetup paperSize="14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C183-3D19-43BF-B483-F497A8C18C89}">
  <sheetPr>
    <pageSetUpPr fitToPage="1"/>
  </sheetPr>
  <dimension ref="A1:I48"/>
  <sheetViews>
    <sheetView topLeftCell="A28" workbookViewId="0">
      <selection activeCell="A32" sqref="A32:D32"/>
    </sheetView>
  </sheetViews>
  <sheetFormatPr defaultRowHeight="15.75" x14ac:dyDescent="0.25"/>
  <cols>
    <col min="1" max="1" width="9.140625" style="16" customWidth="1"/>
    <col min="2" max="2" width="4.140625" style="23" customWidth="1"/>
    <col min="3" max="3" width="36.42578125" style="16" customWidth="1"/>
    <col min="4" max="4" width="5" style="16" customWidth="1"/>
    <col min="5" max="5" width="8.7109375" style="16" customWidth="1"/>
    <col min="6" max="6" width="4.28515625" style="23" customWidth="1"/>
    <col min="7" max="7" width="35.85546875" style="16" customWidth="1"/>
    <col min="8" max="8" width="4.85546875" style="16" customWidth="1"/>
    <col min="9" max="16384" width="9.140625" style="16"/>
  </cols>
  <sheetData>
    <row r="1" spans="1:8" s="26" customFormat="1" ht="22.5" x14ac:dyDescent="0.3">
      <c r="A1" s="50" t="s">
        <v>0</v>
      </c>
      <c r="B1" s="50"/>
      <c r="C1" s="50"/>
      <c r="D1" s="50"/>
      <c r="E1" s="50"/>
      <c r="F1" s="50"/>
      <c r="G1" s="50"/>
      <c r="H1" s="50"/>
    </row>
    <row r="2" spans="1:8" s="27" customFormat="1" ht="16.5" x14ac:dyDescent="0.3">
      <c r="A2" s="51" t="s">
        <v>1</v>
      </c>
      <c r="B2" s="51"/>
      <c r="C2" s="51"/>
      <c r="D2" s="51"/>
      <c r="E2" s="51"/>
      <c r="F2" s="51"/>
      <c r="G2" s="51"/>
      <c r="H2" s="51"/>
    </row>
    <row r="3" spans="1:8" s="27" customFormat="1" ht="16.5" x14ac:dyDescent="0.3">
      <c r="A3" s="51" t="s">
        <v>126</v>
      </c>
      <c r="B3" s="51"/>
      <c r="C3" s="51"/>
      <c r="D3" s="51"/>
      <c r="E3" s="51"/>
      <c r="F3" s="51"/>
      <c r="G3" s="51"/>
      <c r="H3" s="51"/>
    </row>
    <row r="4" spans="1:8" s="27" customFormat="1" ht="16.5" x14ac:dyDescent="0.3">
      <c r="A4" s="51" t="s">
        <v>101</v>
      </c>
      <c r="B4" s="51"/>
      <c r="C4" s="51"/>
      <c r="D4" s="51"/>
      <c r="E4" s="51"/>
      <c r="F4" s="51"/>
      <c r="G4" s="51"/>
      <c r="H4" s="51"/>
    </row>
    <row r="5" spans="1:8" ht="16.5" thickBot="1" x14ac:dyDescent="0.3">
      <c r="A5" s="28"/>
      <c r="B5" s="36"/>
      <c r="C5" s="28"/>
      <c r="D5" s="28"/>
      <c r="E5" s="28"/>
      <c r="F5" s="36"/>
      <c r="G5" s="28"/>
      <c r="H5" s="28"/>
    </row>
    <row r="6" spans="1:8" ht="17.25" thickTop="1" thickBot="1" x14ac:dyDescent="0.3">
      <c r="A6" s="49" t="s">
        <v>2</v>
      </c>
      <c r="B6" s="49"/>
      <c r="C6" s="49"/>
      <c r="D6" s="49"/>
      <c r="E6" s="49"/>
      <c r="F6" s="49"/>
      <c r="G6" s="49"/>
      <c r="H6" s="49"/>
    </row>
    <row r="7" spans="1:8" s="47" customFormat="1" ht="13.5" thickTop="1" x14ac:dyDescent="0.25">
      <c r="A7" s="52" t="s">
        <v>3</v>
      </c>
      <c r="B7" s="52"/>
      <c r="C7" s="46" t="s">
        <v>4</v>
      </c>
      <c r="D7" s="46"/>
      <c r="E7" s="52" t="s">
        <v>5</v>
      </c>
      <c r="F7" s="52"/>
      <c r="G7" s="46" t="s">
        <v>6</v>
      </c>
      <c r="H7" s="46"/>
    </row>
    <row r="8" spans="1:8" ht="31.5" x14ac:dyDescent="0.25">
      <c r="A8" s="20" t="s">
        <v>7</v>
      </c>
      <c r="B8" s="21">
        <v>1</v>
      </c>
      <c r="C8" s="22" t="s">
        <v>8</v>
      </c>
      <c r="D8" s="21" t="s">
        <v>103</v>
      </c>
      <c r="E8" s="22" t="s">
        <v>7</v>
      </c>
      <c r="F8" s="21">
        <v>2</v>
      </c>
      <c r="G8" s="22" t="s">
        <v>9</v>
      </c>
      <c r="H8" s="21" t="s">
        <v>103</v>
      </c>
    </row>
    <row r="9" spans="1:8" x14ac:dyDescent="0.25">
      <c r="A9" s="29" t="s">
        <v>10</v>
      </c>
      <c r="B9" s="23">
        <v>1</v>
      </c>
      <c r="C9" s="16" t="s">
        <v>11</v>
      </c>
      <c r="D9" s="21">
        <v>3</v>
      </c>
      <c r="E9" s="29" t="s">
        <v>10</v>
      </c>
      <c r="F9" s="23">
        <v>5</v>
      </c>
      <c r="G9" s="16" t="s">
        <v>12</v>
      </c>
      <c r="H9" s="21">
        <v>3</v>
      </c>
    </row>
    <row r="10" spans="1:8" x14ac:dyDescent="0.25">
      <c r="A10" s="29" t="s">
        <v>10</v>
      </c>
      <c r="B10" s="23">
        <v>2</v>
      </c>
      <c r="C10" s="16" t="s">
        <v>13</v>
      </c>
      <c r="D10" s="21">
        <v>3</v>
      </c>
      <c r="E10" s="29" t="s">
        <v>10</v>
      </c>
      <c r="F10" s="23">
        <v>6</v>
      </c>
      <c r="G10" s="22" t="s">
        <v>14</v>
      </c>
      <c r="H10" s="21">
        <v>3</v>
      </c>
    </row>
    <row r="11" spans="1:8" x14ac:dyDescent="0.25">
      <c r="A11" s="29" t="s">
        <v>10</v>
      </c>
      <c r="B11" s="23">
        <v>3</v>
      </c>
      <c r="C11" s="16" t="s">
        <v>15</v>
      </c>
      <c r="D11" s="21">
        <v>3</v>
      </c>
      <c r="E11" s="29" t="s">
        <v>10</v>
      </c>
      <c r="F11" s="23">
        <v>4</v>
      </c>
      <c r="G11" s="16" t="s">
        <v>17</v>
      </c>
      <c r="H11" s="21">
        <v>3</v>
      </c>
    </row>
    <row r="12" spans="1:8" x14ac:dyDescent="0.25">
      <c r="A12" s="29" t="s">
        <v>19</v>
      </c>
      <c r="B12" s="23">
        <v>1</v>
      </c>
      <c r="C12" s="16" t="s">
        <v>20</v>
      </c>
      <c r="D12" s="21">
        <v>3</v>
      </c>
      <c r="E12" s="22" t="s">
        <v>27</v>
      </c>
      <c r="F12" s="21">
        <v>2</v>
      </c>
      <c r="G12" s="22" t="s">
        <v>28</v>
      </c>
      <c r="H12" s="21">
        <v>3</v>
      </c>
    </row>
    <row r="13" spans="1:8" x14ac:dyDescent="0.25">
      <c r="A13" s="18" t="s">
        <v>27</v>
      </c>
      <c r="B13" s="14">
        <v>1</v>
      </c>
      <c r="C13" s="18" t="s">
        <v>30</v>
      </c>
      <c r="D13" s="17">
        <v>3</v>
      </c>
      <c r="E13" s="22" t="s">
        <v>49</v>
      </c>
      <c r="F13" s="23">
        <v>1</v>
      </c>
      <c r="G13" s="16" t="s">
        <v>89</v>
      </c>
      <c r="H13" s="21">
        <v>3</v>
      </c>
    </row>
    <row r="14" spans="1:8" ht="27" x14ac:dyDescent="0.25">
      <c r="A14" s="20" t="s">
        <v>107</v>
      </c>
      <c r="B14" s="38">
        <v>1</v>
      </c>
      <c r="C14" s="39" t="s">
        <v>123</v>
      </c>
      <c r="D14" s="21">
        <v>2</v>
      </c>
      <c r="E14" s="20" t="s">
        <v>107</v>
      </c>
      <c r="F14" s="38">
        <v>2</v>
      </c>
      <c r="G14" s="35" t="s">
        <v>124</v>
      </c>
      <c r="H14" s="21">
        <v>2</v>
      </c>
    </row>
    <row r="15" spans="1:8" x14ac:dyDescent="0.25">
      <c r="A15" s="20" t="s">
        <v>21</v>
      </c>
      <c r="B15" s="21">
        <v>1</v>
      </c>
      <c r="C15" s="22" t="s">
        <v>110</v>
      </c>
      <c r="D15" s="24">
        <v>3</v>
      </c>
      <c r="E15" s="22" t="s">
        <v>21</v>
      </c>
      <c r="F15" s="21">
        <v>2</v>
      </c>
      <c r="G15" s="22" t="s">
        <v>111</v>
      </c>
      <c r="H15" s="24">
        <v>3</v>
      </c>
    </row>
    <row r="16" spans="1:8" ht="16.5" thickBot="1" x14ac:dyDescent="0.3">
      <c r="A16" s="20"/>
      <c r="B16" s="21"/>
      <c r="C16" s="22"/>
      <c r="D16" s="21">
        <f>SUM(D8:D15)</f>
        <v>20</v>
      </c>
      <c r="E16" s="22"/>
      <c r="F16" s="21"/>
      <c r="G16" s="22"/>
      <c r="H16" s="21">
        <f>SUM(H8:H15)</f>
        <v>20</v>
      </c>
    </row>
    <row r="17" spans="1:9" ht="11.25" customHeight="1" thickTop="1" thickBot="1" x14ac:dyDescent="0.3">
      <c r="A17" s="49" t="s">
        <v>22</v>
      </c>
      <c r="B17" s="49"/>
      <c r="C17" s="49"/>
      <c r="D17" s="49"/>
      <c r="E17" s="49"/>
      <c r="F17" s="49"/>
      <c r="G17" s="49"/>
      <c r="H17" s="49"/>
    </row>
    <row r="18" spans="1:9" s="1" customFormat="1" ht="15.75" customHeight="1" thickTop="1" x14ac:dyDescent="0.25">
      <c r="A18" s="52" t="s">
        <v>23</v>
      </c>
      <c r="B18" s="52"/>
      <c r="C18" s="48" t="s">
        <v>6</v>
      </c>
      <c r="D18" s="46"/>
      <c r="E18" s="52" t="s">
        <v>5</v>
      </c>
      <c r="F18" s="52"/>
      <c r="G18" s="48" t="s">
        <v>6</v>
      </c>
      <c r="H18" s="46"/>
    </row>
    <row r="19" spans="1:9" ht="14.25" customHeight="1" x14ac:dyDescent="0.25">
      <c r="A19" s="22" t="s">
        <v>7</v>
      </c>
      <c r="B19" s="21">
        <v>3</v>
      </c>
      <c r="C19" s="22" t="s">
        <v>24</v>
      </c>
      <c r="D19" s="21" t="s">
        <v>103</v>
      </c>
      <c r="E19" s="22" t="s">
        <v>7</v>
      </c>
      <c r="F19" s="21">
        <v>4</v>
      </c>
      <c r="G19" s="22" t="s">
        <v>25</v>
      </c>
      <c r="H19" s="21" t="s">
        <v>103</v>
      </c>
    </row>
    <row r="20" spans="1:9" ht="12.75" customHeight="1" x14ac:dyDescent="0.25">
      <c r="A20" s="22" t="s">
        <v>10</v>
      </c>
      <c r="B20" s="21">
        <v>9</v>
      </c>
      <c r="C20" s="16" t="s">
        <v>26</v>
      </c>
      <c r="D20" s="21">
        <v>3</v>
      </c>
      <c r="E20" s="29" t="s">
        <v>10</v>
      </c>
      <c r="F20" s="21">
        <v>7</v>
      </c>
      <c r="G20" s="22" t="s">
        <v>16</v>
      </c>
      <c r="H20" s="23">
        <v>3</v>
      </c>
      <c r="I20" s="29"/>
    </row>
    <row r="21" spans="1:9" ht="15" customHeight="1" x14ac:dyDescent="0.25">
      <c r="A21" s="16" t="s">
        <v>10</v>
      </c>
      <c r="B21" s="23">
        <v>11</v>
      </c>
      <c r="C21" s="16" t="s">
        <v>105</v>
      </c>
      <c r="D21" s="23">
        <v>3</v>
      </c>
      <c r="E21" s="22" t="s">
        <v>10</v>
      </c>
      <c r="F21" s="21">
        <v>8</v>
      </c>
      <c r="G21" s="22" t="s">
        <v>18</v>
      </c>
      <c r="H21" s="21">
        <v>3</v>
      </c>
    </row>
    <row r="22" spans="1:9" x14ac:dyDescent="0.25">
      <c r="A22" s="16" t="s">
        <v>10</v>
      </c>
      <c r="B22" s="23">
        <v>12</v>
      </c>
      <c r="C22" s="16" t="s">
        <v>106</v>
      </c>
      <c r="D22" s="21">
        <v>3</v>
      </c>
      <c r="E22" s="16" t="s">
        <v>10</v>
      </c>
      <c r="F22" s="23">
        <v>10</v>
      </c>
      <c r="G22" s="16" t="s">
        <v>104</v>
      </c>
      <c r="H22" s="21">
        <v>3</v>
      </c>
    </row>
    <row r="23" spans="1:9" s="18" customFormat="1" x14ac:dyDescent="0.25">
      <c r="A23" s="16" t="s">
        <v>27</v>
      </c>
      <c r="B23" s="23">
        <v>3</v>
      </c>
      <c r="C23" s="16" t="s">
        <v>29</v>
      </c>
      <c r="D23" s="23">
        <v>3</v>
      </c>
      <c r="E23" s="18" t="s">
        <v>19</v>
      </c>
      <c r="F23" s="14">
        <v>2</v>
      </c>
      <c r="G23" s="18" t="s">
        <v>117</v>
      </c>
      <c r="H23" s="21">
        <v>3</v>
      </c>
    </row>
    <row r="24" spans="1:9" s="18" customFormat="1" ht="16.5" x14ac:dyDescent="0.25">
      <c r="A24" s="15" t="s">
        <v>27</v>
      </c>
      <c r="B24" s="17">
        <v>4</v>
      </c>
      <c r="C24" s="34" t="s">
        <v>71</v>
      </c>
      <c r="D24" s="17">
        <v>3</v>
      </c>
      <c r="E24" s="16" t="s">
        <v>49</v>
      </c>
      <c r="F24" s="23">
        <v>3</v>
      </c>
      <c r="G24" s="16" t="s">
        <v>91</v>
      </c>
      <c r="H24" s="23">
        <v>3</v>
      </c>
    </row>
    <row r="25" spans="1:9" x14ac:dyDescent="0.25">
      <c r="A25" s="18" t="s">
        <v>49</v>
      </c>
      <c r="B25" s="14">
        <v>2</v>
      </c>
      <c r="C25" s="18" t="s">
        <v>90</v>
      </c>
      <c r="D25" s="14">
        <v>3</v>
      </c>
      <c r="E25" s="16" t="s">
        <v>49</v>
      </c>
      <c r="F25" s="23">
        <v>4</v>
      </c>
      <c r="G25" s="16" t="s">
        <v>95</v>
      </c>
      <c r="H25" s="21">
        <v>3</v>
      </c>
    </row>
    <row r="26" spans="1:9" ht="30" customHeight="1" x14ac:dyDescent="0.25">
      <c r="A26" s="37" t="s">
        <v>107</v>
      </c>
      <c r="B26" s="38">
        <v>3</v>
      </c>
      <c r="C26" s="39" t="s">
        <v>121</v>
      </c>
      <c r="D26" s="24">
        <v>2</v>
      </c>
      <c r="E26" s="37" t="s">
        <v>107</v>
      </c>
      <c r="F26" s="38">
        <v>4</v>
      </c>
      <c r="G26" s="39" t="s">
        <v>122</v>
      </c>
      <c r="H26" s="24">
        <v>2</v>
      </c>
    </row>
    <row r="27" spans="1:9" ht="16.5" thickBot="1" x14ac:dyDescent="0.3">
      <c r="D27" s="21">
        <f>SUM(D19:D26)</f>
        <v>20</v>
      </c>
      <c r="H27" s="23">
        <f>SUM(H19:H26)</f>
        <v>20</v>
      </c>
    </row>
    <row r="28" spans="1:9" ht="17.25" thickTop="1" thickBot="1" x14ac:dyDescent="0.3">
      <c r="A28" s="49" t="s">
        <v>35</v>
      </c>
      <c r="B28" s="49"/>
      <c r="C28" s="49"/>
      <c r="D28" s="49"/>
      <c r="E28" s="49"/>
      <c r="F28" s="49"/>
      <c r="G28" s="49"/>
      <c r="H28" s="49"/>
    </row>
    <row r="29" spans="1:9" s="1" customFormat="1" ht="13.5" thickTop="1" x14ac:dyDescent="0.25">
      <c r="A29" s="52" t="s">
        <v>23</v>
      </c>
      <c r="B29" s="52"/>
      <c r="C29" s="48" t="s">
        <v>6</v>
      </c>
      <c r="D29" s="46"/>
      <c r="E29" s="52" t="s">
        <v>5</v>
      </c>
      <c r="F29" s="52"/>
      <c r="G29" s="48" t="s">
        <v>6</v>
      </c>
      <c r="H29" s="46"/>
    </row>
    <row r="30" spans="1:9" ht="31.5" x14ac:dyDescent="0.25">
      <c r="A30" s="22" t="s">
        <v>7</v>
      </c>
      <c r="B30" s="21">
        <v>5</v>
      </c>
      <c r="C30" s="22" t="s">
        <v>36</v>
      </c>
      <c r="D30" s="21" t="s">
        <v>103</v>
      </c>
      <c r="E30" s="22" t="s">
        <v>7</v>
      </c>
      <c r="F30" s="21">
        <v>6</v>
      </c>
      <c r="G30" s="35" t="s">
        <v>37</v>
      </c>
      <c r="H30" s="21" t="s">
        <v>103</v>
      </c>
    </row>
    <row r="31" spans="1:9" x14ac:dyDescent="0.25">
      <c r="A31" s="16" t="s">
        <v>38</v>
      </c>
      <c r="B31" s="23">
        <v>2</v>
      </c>
      <c r="C31" s="16" t="s">
        <v>39</v>
      </c>
      <c r="D31" s="21">
        <v>3</v>
      </c>
      <c r="E31" s="15" t="s">
        <v>38</v>
      </c>
      <c r="F31" s="17">
        <v>1</v>
      </c>
      <c r="G31" s="15" t="s">
        <v>42</v>
      </c>
      <c r="H31" s="17">
        <v>3</v>
      </c>
    </row>
    <row r="32" spans="1:9" s="18" customFormat="1" x14ac:dyDescent="0.25">
      <c r="A32" s="18" t="s">
        <v>129</v>
      </c>
      <c r="B32" s="14">
        <v>3</v>
      </c>
      <c r="C32" s="18" t="s">
        <v>128</v>
      </c>
      <c r="D32" s="60">
        <v>3</v>
      </c>
      <c r="E32" s="22" t="s">
        <v>49</v>
      </c>
      <c r="F32" s="23">
        <v>6</v>
      </c>
      <c r="G32" s="16" t="s">
        <v>94</v>
      </c>
      <c r="H32" s="23">
        <v>3</v>
      </c>
    </row>
    <row r="33" spans="1:8" x14ac:dyDescent="0.25">
      <c r="A33" s="16" t="s">
        <v>27</v>
      </c>
      <c r="B33" s="23">
        <v>5</v>
      </c>
      <c r="C33" s="16" t="s">
        <v>43</v>
      </c>
      <c r="D33" s="23">
        <v>3</v>
      </c>
      <c r="E33" s="22" t="s">
        <v>49</v>
      </c>
      <c r="F33" s="21">
        <v>7</v>
      </c>
      <c r="G33" s="18" t="s">
        <v>92</v>
      </c>
      <c r="H33" s="59">
        <v>3</v>
      </c>
    </row>
    <row r="34" spans="1:8" x14ac:dyDescent="0.25">
      <c r="A34" s="16" t="s">
        <v>27</v>
      </c>
      <c r="B34" s="23">
        <v>6</v>
      </c>
      <c r="C34" s="22" t="s">
        <v>45</v>
      </c>
      <c r="D34" s="21">
        <v>3</v>
      </c>
      <c r="E34" s="22" t="s">
        <v>49</v>
      </c>
      <c r="F34" s="21">
        <v>8</v>
      </c>
      <c r="G34" s="22" t="s">
        <v>96</v>
      </c>
      <c r="H34" s="21">
        <v>3</v>
      </c>
    </row>
    <row r="35" spans="1:8" x14ac:dyDescent="0.25">
      <c r="A35" s="22" t="s">
        <v>27</v>
      </c>
      <c r="B35" s="21">
        <v>7</v>
      </c>
      <c r="C35" s="22" t="s">
        <v>40</v>
      </c>
      <c r="D35" s="23">
        <v>3</v>
      </c>
      <c r="E35" s="22" t="s">
        <v>49</v>
      </c>
      <c r="F35" s="14">
        <v>9</v>
      </c>
      <c r="G35" s="15" t="s">
        <v>98</v>
      </c>
      <c r="H35" s="17">
        <v>3</v>
      </c>
    </row>
    <row r="36" spans="1:8" x14ac:dyDescent="0.25">
      <c r="A36" s="22" t="s">
        <v>49</v>
      </c>
      <c r="B36" s="31">
        <v>5</v>
      </c>
      <c r="C36" s="22" t="s">
        <v>93</v>
      </c>
      <c r="D36" s="61">
        <v>3</v>
      </c>
      <c r="E36" s="22" t="s">
        <v>49</v>
      </c>
      <c r="F36" s="21">
        <v>10</v>
      </c>
      <c r="G36" s="22" t="s">
        <v>99</v>
      </c>
      <c r="H36" s="24">
        <v>3</v>
      </c>
    </row>
    <row r="37" spans="1:8" ht="16.5" thickBot="1" x14ac:dyDescent="0.3">
      <c r="A37" s="22"/>
      <c r="B37" s="31"/>
      <c r="C37" s="22"/>
      <c r="D37" s="21">
        <f>SUM(D31:D36)</f>
        <v>18</v>
      </c>
      <c r="E37" s="22"/>
      <c r="F37" s="21"/>
      <c r="G37" s="22"/>
      <c r="H37" s="23">
        <f>SUM(H31:H36)</f>
        <v>18</v>
      </c>
    </row>
    <row r="38" spans="1:8" ht="17.25" customHeight="1" thickTop="1" thickBot="1" x14ac:dyDescent="0.3">
      <c r="A38" s="49" t="s">
        <v>52</v>
      </c>
      <c r="B38" s="49"/>
      <c r="C38" s="49"/>
      <c r="D38" s="49"/>
      <c r="E38" s="49"/>
      <c r="F38" s="49"/>
      <c r="G38" s="49"/>
      <c r="H38" s="49"/>
    </row>
    <row r="39" spans="1:8" ht="16.5" thickTop="1" x14ac:dyDescent="0.25">
      <c r="A39" s="53" t="s">
        <v>23</v>
      </c>
      <c r="B39" s="53"/>
      <c r="C39" s="30" t="s">
        <v>6</v>
      </c>
      <c r="D39" s="19"/>
      <c r="E39" s="53" t="s">
        <v>5</v>
      </c>
      <c r="F39" s="53"/>
      <c r="G39" s="30" t="s">
        <v>6</v>
      </c>
      <c r="H39" s="19"/>
    </row>
    <row r="40" spans="1:8" s="18" customFormat="1" x14ac:dyDescent="0.25">
      <c r="A40" s="15" t="s">
        <v>49</v>
      </c>
      <c r="B40" s="17">
        <v>11</v>
      </c>
      <c r="C40" s="15" t="s">
        <v>100</v>
      </c>
      <c r="D40" s="59">
        <v>3</v>
      </c>
      <c r="E40" s="15" t="s">
        <v>49</v>
      </c>
      <c r="F40" s="17">
        <v>13</v>
      </c>
      <c r="G40" s="15" t="s">
        <v>56</v>
      </c>
      <c r="H40" s="17">
        <v>6</v>
      </c>
    </row>
    <row r="41" spans="1:8" s="18" customFormat="1" x14ac:dyDescent="0.25">
      <c r="A41" s="22" t="s">
        <v>49</v>
      </c>
      <c r="B41" s="14">
        <v>12</v>
      </c>
      <c r="C41" s="18" t="s">
        <v>54</v>
      </c>
      <c r="D41" s="17">
        <v>3</v>
      </c>
      <c r="E41" s="15"/>
      <c r="F41" s="17"/>
      <c r="G41" s="15"/>
      <c r="H41" s="25">
        <f>SUM(H40)</f>
        <v>6</v>
      </c>
    </row>
    <row r="42" spans="1:8" s="18" customFormat="1" x14ac:dyDescent="0.25">
      <c r="A42" s="15" t="s">
        <v>27</v>
      </c>
      <c r="B42" s="17">
        <v>8</v>
      </c>
      <c r="C42" s="15" t="s">
        <v>120</v>
      </c>
      <c r="D42" s="17">
        <v>3</v>
      </c>
    </row>
    <row r="43" spans="1:8" s="18" customFormat="1" x14ac:dyDescent="0.25">
      <c r="A43" s="22"/>
      <c r="B43" s="21"/>
      <c r="C43" s="22"/>
      <c r="D43" s="32">
        <f>SUM(D40:D42)</f>
        <v>9</v>
      </c>
      <c r="E43" s="15"/>
      <c r="F43" s="14"/>
      <c r="H43" s="14"/>
    </row>
    <row r="44" spans="1:8" x14ac:dyDescent="0.25">
      <c r="B44" s="16"/>
      <c r="E44" s="22"/>
      <c r="H44" s="23"/>
    </row>
    <row r="45" spans="1:8" x14ac:dyDescent="0.25">
      <c r="A45" s="22"/>
      <c r="B45" s="21"/>
      <c r="C45" s="22"/>
      <c r="D45" s="21"/>
      <c r="E45" s="22"/>
      <c r="H45" s="23"/>
    </row>
    <row r="46" spans="1:8" x14ac:dyDescent="0.25">
      <c r="C46" s="22"/>
      <c r="D46" s="23"/>
      <c r="H46" s="23"/>
    </row>
    <row r="47" spans="1:8" x14ac:dyDescent="0.25">
      <c r="H47" s="16" t="s">
        <v>59</v>
      </c>
    </row>
    <row r="48" spans="1:8" x14ac:dyDescent="0.25">
      <c r="A48" s="33"/>
    </row>
  </sheetData>
  <mergeCells count="16">
    <mergeCell ref="A38:H38"/>
    <mergeCell ref="A39:B39"/>
    <mergeCell ref="E39:F39"/>
    <mergeCell ref="A17:H17"/>
    <mergeCell ref="A18:B18"/>
    <mergeCell ref="E18:F18"/>
    <mergeCell ref="A28:H28"/>
    <mergeCell ref="A29:B29"/>
    <mergeCell ref="E29:F29"/>
    <mergeCell ref="A7:B7"/>
    <mergeCell ref="E7:F7"/>
    <mergeCell ref="A1:H1"/>
    <mergeCell ref="A2:H2"/>
    <mergeCell ref="A3:H3"/>
    <mergeCell ref="A4:H4"/>
    <mergeCell ref="A6:H6"/>
  </mergeCells>
  <pageMargins left="0.31" right="0.24" top="0.75" bottom="0.75" header="0.3" footer="0.3"/>
  <pageSetup paperSize="14" scale="94" fitToHeight="0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F497F-9DE1-40F8-AFB2-D3732435DFF9}">
  <dimension ref="A1:K81"/>
  <sheetViews>
    <sheetView topLeftCell="A63" workbookViewId="0">
      <selection activeCell="A66" sqref="A66:XFD81"/>
    </sheetView>
  </sheetViews>
  <sheetFormatPr defaultColWidth="9.28515625" defaultRowHeight="15.75" x14ac:dyDescent="0.25"/>
  <cols>
    <col min="1" max="1" width="1.7109375" style="4" customWidth="1"/>
    <col min="2" max="2" width="9.85546875" style="4" customWidth="1"/>
    <col min="3" max="3" width="4.42578125" style="3" customWidth="1"/>
    <col min="4" max="4" width="50.42578125" style="4" customWidth="1"/>
    <col min="5" max="5" width="7.28515625" style="4" customWidth="1"/>
    <col min="6" max="6" width="7.7109375" style="4" customWidth="1"/>
    <col min="7" max="7" width="5.7109375" style="7" customWidth="1"/>
    <col min="8" max="8" width="6.28515625" style="7" customWidth="1"/>
    <col min="9" max="16384" width="9.28515625" style="4"/>
  </cols>
  <sheetData>
    <row r="1" spans="1:8" ht="18.75" x14ac:dyDescent="0.3">
      <c r="A1" s="57" t="s">
        <v>60</v>
      </c>
      <c r="B1" s="57"/>
      <c r="C1" s="57"/>
      <c r="D1" s="57"/>
      <c r="E1" s="57"/>
      <c r="F1" s="57"/>
      <c r="G1" s="57"/>
      <c r="H1" s="57"/>
    </row>
    <row r="2" spans="1:8" x14ac:dyDescent="0.25">
      <c r="A2" s="54" t="s">
        <v>61</v>
      </c>
      <c r="B2" s="54"/>
      <c r="C2" s="54"/>
      <c r="D2" s="54"/>
      <c r="E2" s="54"/>
      <c r="F2" s="54"/>
      <c r="G2" s="54"/>
      <c r="H2" s="54"/>
    </row>
    <row r="3" spans="1:8" x14ac:dyDescent="0.25">
      <c r="A3" s="54" t="s">
        <v>86</v>
      </c>
      <c r="B3" s="54"/>
      <c r="C3" s="54"/>
      <c r="D3" s="54"/>
      <c r="E3" s="54"/>
      <c r="F3" s="54"/>
      <c r="G3" s="54"/>
      <c r="H3" s="54"/>
    </row>
    <row r="4" spans="1:8" x14ac:dyDescent="0.25">
      <c r="A4" s="54" t="s">
        <v>87</v>
      </c>
      <c r="B4" s="54"/>
      <c r="C4" s="54"/>
      <c r="D4" s="54"/>
      <c r="E4" s="54"/>
      <c r="F4" s="54"/>
      <c r="G4" s="54"/>
      <c r="H4" s="54"/>
    </row>
    <row r="5" spans="1:8" x14ac:dyDescent="0.25">
      <c r="A5" s="3"/>
      <c r="B5" s="3"/>
      <c r="D5" s="3"/>
      <c r="E5" s="3"/>
      <c r="F5" s="3"/>
    </row>
    <row r="6" spans="1:8" x14ac:dyDescent="0.25">
      <c r="A6" s="56" t="s">
        <v>64</v>
      </c>
      <c r="B6" s="56"/>
      <c r="C6" s="56"/>
      <c r="D6" s="56"/>
      <c r="E6" s="56"/>
      <c r="F6" s="56"/>
      <c r="G6" s="56"/>
      <c r="H6" s="56"/>
    </row>
    <row r="7" spans="1:8" x14ac:dyDescent="0.25">
      <c r="A7" s="54"/>
      <c r="B7" s="54"/>
      <c r="C7" s="54"/>
      <c r="D7" s="54"/>
      <c r="E7" s="54"/>
      <c r="F7" s="54"/>
      <c r="G7" s="54"/>
      <c r="H7" s="54"/>
    </row>
    <row r="8" spans="1:8" s="6" customFormat="1" x14ac:dyDescent="0.25">
      <c r="A8" s="6" t="s">
        <v>65</v>
      </c>
      <c r="C8" s="5"/>
      <c r="G8" s="12">
        <f>SUM(E9:E21)</f>
        <v>36</v>
      </c>
      <c r="H8" s="12" t="s">
        <v>66</v>
      </c>
    </row>
    <row r="9" spans="1:8" x14ac:dyDescent="0.25">
      <c r="B9" s="4" t="s">
        <v>10</v>
      </c>
      <c r="C9" s="3">
        <v>1</v>
      </c>
      <c r="D9" s="4" t="s">
        <v>11</v>
      </c>
      <c r="E9" s="7">
        <v>3</v>
      </c>
      <c r="F9" s="4" t="s">
        <v>66</v>
      </c>
    </row>
    <row r="10" spans="1:8" x14ac:dyDescent="0.25">
      <c r="B10" s="4" t="s">
        <v>10</v>
      </c>
      <c r="C10" s="3">
        <v>2</v>
      </c>
      <c r="D10" s="4" t="s">
        <v>67</v>
      </c>
      <c r="E10" s="7">
        <v>3</v>
      </c>
      <c r="F10" s="4" t="s">
        <v>66</v>
      </c>
    </row>
    <row r="11" spans="1:8" x14ac:dyDescent="0.25">
      <c r="B11" s="4" t="s">
        <v>10</v>
      </c>
      <c r="C11" s="3">
        <v>3</v>
      </c>
      <c r="D11" s="4" t="s">
        <v>15</v>
      </c>
      <c r="E11" s="7">
        <v>3</v>
      </c>
      <c r="F11" s="4" t="s">
        <v>66</v>
      </c>
    </row>
    <row r="12" spans="1:8" x14ac:dyDescent="0.25">
      <c r="B12" s="4" t="s">
        <v>10</v>
      </c>
      <c r="C12" s="3">
        <v>4</v>
      </c>
      <c r="D12" s="4" t="s">
        <v>17</v>
      </c>
      <c r="E12" s="7">
        <v>3</v>
      </c>
      <c r="F12" s="4" t="s">
        <v>66</v>
      </c>
    </row>
    <row r="13" spans="1:8" x14ac:dyDescent="0.25">
      <c r="B13" s="4" t="s">
        <v>10</v>
      </c>
      <c r="C13" s="3">
        <v>5</v>
      </c>
      <c r="D13" s="4" t="s">
        <v>12</v>
      </c>
      <c r="E13" s="7">
        <v>3</v>
      </c>
      <c r="F13" s="4" t="s">
        <v>66</v>
      </c>
    </row>
    <row r="14" spans="1:8" x14ac:dyDescent="0.25">
      <c r="B14" s="4" t="s">
        <v>10</v>
      </c>
      <c r="C14" s="3">
        <v>6</v>
      </c>
      <c r="D14" s="4" t="s">
        <v>14</v>
      </c>
      <c r="E14" s="7">
        <v>3</v>
      </c>
      <c r="F14" s="4" t="s">
        <v>66</v>
      </c>
    </row>
    <row r="15" spans="1:8" x14ac:dyDescent="0.25">
      <c r="B15" s="4" t="s">
        <v>10</v>
      </c>
      <c r="C15" s="3">
        <v>7</v>
      </c>
      <c r="D15" s="4" t="s">
        <v>16</v>
      </c>
      <c r="E15" s="7">
        <v>3</v>
      </c>
      <c r="F15" s="4" t="s">
        <v>66</v>
      </c>
    </row>
    <row r="16" spans="1:8" x14ac:dyDescent="0.25">
      <c r="B16" s="4" t="s">
        <v>10</v>
      </c>
      <c r="C16" s="3">
        <v>8</v>
      </c>
      <c r="D16" s="4" t="s">
        <v>18</v>
      </c>
      <c r="E16" s="7">
        <v>3</v>
      </c>
      <c r="F16" s="4" t="s">
        <v>66</v>
      </c>
    </row>
    <row r="17" spans="1:11" x14ac:dyDescent="0.25">
      <c r="B17" s="4" t="s">
        <v>10</v>
      </c>
      <c r="C17" s="3">
        <v>9</v>
      </c>
      <c r="D17" s="4" t="s">
        <v>26</v>
      </c>
      <c r="E17" s="7">
        <v>3</v>
      </c>
      <c r="F17" s="4" t="s">
        <v>66</v>
      </c>
    </row>
    <row r="18" spans="1:11" x14ac:dyDescent="0.25">
      <c r="C18" s="5" t="s">
        <v>119</v>
      </c>
      <c r="E18" s="7"/>
    </row>
    <row r="19" spans="1:11" x14ac:dyDescent="0.25">
      <c r="B19" s="4" t="s">
        <v>10</v>
      </c>
      <c r="C19" s="3">
        <v>10</v>
      </c>
      <c r="D19" s="4" t="s">
        <v>104</v>
      </c>
      <c r="E19" s="7">
        <v>3</v>
      </c>
      <c r="F19" s="3" t="s">
        <v>66</v>
      </c>
      <c r="G19" s="6"/>
      <c r="H19" s="6"/>
    </row>
    <row r="20" spans="1:11" x14ac:dyDescent="0.25">
      <c r="B20" s="4" t="s">
        <v>10</v>
      </c>
      <c r="C20" s="3">
        <v>11</v>
      </c>
      <c r="D20" s="4" t="s">
        <v>105</v>
      </c>
      <c r="E20" s="7">
        <v>3</v>
      </c>
      <c r="F20" s="3" t="s">
        <v>66</v>
      </c>
      <c r="G20" s="6"/>
      <c r="H20" s="6"/>
    </row>
    <row r="21" spans="1:11" x14ac:dyDescent="0.25">
      <c r="B21" s="4" t="s">
        <v>10</v>
      </c>
      <c r="C21" s="3">
        <v>12</v>
      </c>
      <c r="D21" s="4" t="s">
        <v>106</v>
      </c>
      <c r="E21" s="7">
        <v>3</v>
      </c>
      <c r="F21" s="3" t="s">
        <v>66</v>
      </c>
      <c r="G21" s="6"/>
      <c r="H21" s="6"/>
    </row>
    <row r="22" spans="1:11" x14ac:dyDescent="0.25">
      <c r="E22" s="7"/>
    </row>
    <row r="23" spans="1:11" s="2" customFormat="1" x14ac:dyDescent="0.25">
      <c r="A23" s="6" t="s">
        <v>75</v>
      </c>
      <c r="B23" s="4"/>
      <c r="C23" s="3"/>
      <c r="D23" s="4"/>
      <c r="E23" s="4"/>
      <c r="F23" s="4"/>
      <c r="G23" s="6">
        <f>E24+E25</f>
        <v>6</v>
      </c>
      <c r="H23" s="6" t="s">
        <v>66</v>
      </c>
      <c r="I23" s="4"/>
      <c r="J23" s="4"/>
      <c r="K23" s="4"/>
    </row>
    <row r="24" spans="1:11" s="2" customFormat="1" x14ac:dyDescent="0.25">
      <c r="B24" s="4" t="s">
        <v>21</v>
      </c>
      <c r="C24" s="3">
        <v>1</v>
      </c>
      <c r="D24" s="4" t="s">
        <v>125</v>
      </c>
      <c r="E24" s="4">
        <v>3</v>
      </c>
      <c r="F24" s="4" t="s">
        <v>66</v>
      </c>
      <c r="G24" s="6"/>
      <c r="H24" s="6"/>
      <c r="I24" s="4"/>
      <c r="J24" s="4"/>
      <c r="K24" s="4"/>
    </row>
    <row r="25" spans="1:11" s="2" customFormat="1" x14ac:dyDescent="0.25">
      <c r="B25" s="4" t="s">
        <v>21</v>
      </c>
      <c r="C25" s="3">
        <v>2</v>
      </c>
      <c r="D25" s="4" t="s">
        <v>111</v>
      </c>
      <c r="E25" s="4">
        <v>3</v>
      </c>
      <c r="F25" s="4" t="s">
        <v>66</v>
      </c>
      <c r="G25" s="6"/>
      <c r="H25" s="6"/>
      <c r="I25" s="4"/>
      <c r="J25" s="4"/>
      <c r="K25" s="4"/>
    </row>
    <row r="26" spans="1:11" s="2" customFormat="1" x14ac:dyDescent="0.25">
      <c r="B26" s="4"/>
      <c r="C26" s="3"/>
      <c r="D26" s="4"/>
      <c r="E26" s="4"/>
      <c r="F26" s="4"/>
      <c r="G26" s="6"/>
      <c r="H26" s="6"/>
      <c r="I26" s="4"/>
      <c r="J26" s="4"/>
      <c r="K26" s="4"/>
    </row>
    <row r="27" spans="1:11" s="2" customFormat="1" x14ac:dyDescent="0.25">
      <c r="A27" s="6" t="s">
        <v>74</v>
      </c>
      <c r="B27" s="4"/>
      <c r="C27" s="3"/>
      <c r="D27" s="4"/>
      <c r="E27" s="4"/>
      <c r="F27" s="4"/>
      <c r="G27" s="6">
        <f>SUM(E28:E31)</f>
        <v>8</v>
      </c>
      <c r="H27" s="6" t="s">
        <v>66</v>
      </c>
      <c r="I27" s="4"/>
      <c r="J27" s="4"/>
      <c r="K27" s="4"/>
    </row>
    <row r="28" spans="1:11" s="43" customFormat="1" ht="31.5" x14ac:dyDescent="0.25">
      <c r="A28" s="40"/>
      <c r="B28" s="41" t="s">
        <v>107</v>
      </c>
      <c r="C28" s="44">
        <v>1</v>
      </c>
      <c r="D28" s="41" t="s">
        <v>108</v>
      </c>
      <c r="E28" s="41">
        <v>2</v>
      </c>
      <c r="F28" s="41" t="s">
        <v>66</v>
      </c>
      <c r="G28" s="42"/>
      <c r="H28" s="42"/>
    </row>
    <row r="29" spans="1:11" s="43" customFormat="1" ht="31.5" x14ac:dyDescent="0.25">
      <c r="A29" s="40"/>
      <c r="B29" s="41" t="s">
        <v>107</v>
      </c>
      <c r="C29" s="44">
        <v>2</v>
      </c>
      <c r="D29" s="41" t="s">
        <v>109</v>
      </c>
      <c r="E29" s="41">
        <v>2</v>
      </c>
      <c r="F29" s="41" t="s">
        <v>66</v>
      </c>
      <c r="G29" s="42"/>
      <c r="H29" s="42"/>
    </row>
    <row r="30" spans="1:11" s="43" customFormat="1" ht="31.5" x14ac:dyDescent="0.25">
      <c r="A30" s="40"/>
      <c r="B30" s="41" t="s">
        <v>107</v>
      </c>
      <c r="C30" s="44">
        <v>3</v>
      </c>
      <c r="D30" s="41" t="s">
        <v>112</v>
      </c>
      <c r="E30" s="41">
        <v>2</v>
      </c>
      <c r="F30" s="41" t="s">
        <v>66</v>
      </c>
      <c r="G30" s="42"/>
      <c r="H30" s="42"/>
    </row>
    <row r="31" spans="1:11" s="43" customFormat="1" ht="31.5" x14ac:dyDescent="0.25">
      <c r="A31" s="40"/>
      <c r="B31" s="41" t="s">
        <v>107</v>
      </c>
      <c r="C31" s="44">
        <v>4</v>
      </c>
      <c r="D31" s="41" t="s">
        <v>113</v>
      </c>
      <c r="E31" s="41">
        <v>2</v>
      </c>
      <c r="F31" s="41" t="s">
        <v>66</v>
      </c>
      <c r="G31" s="42"/>
      <c r="H31" s="42"/>
    </row>
    <row r="32" spans="1:11" s="43" customFormat="1" x14ac:dyDescent="0.25">
      <c r="A32" s="40"/>
      <c r="B32" s="41"/>
      <c r="C32" s="44"/>
      <c r="D32" s="41"/>
      <c r="E32" s="41"/>
      <c r="F32" s="41"/>
      <c r="G32" s="42"/>
      <c r="H32" s="42"/>
    </row>
    <row r="33" spans="1:8" s="6" customFormat="1" x14ac:dyDescent="0.25">
      <c r="A33" s="6" t="s">
        <v>68</v>
      </c>
      <c r="C33" s="5"/>
      <c r="G33" s="12">
        <v>6</v>
      </c>
      <c r="H33" s="12" t="s">
        <v>66</v>
      </c>
    </row>
    <row r="34" spans="1:8" x14ac:dyDescent="0.25">
      <c r="B34" s="4" t="s">
        <v>116</v>
      </c>
      <c r="C34" s="3">
        <v>1</v>
      </c>
      <c r="D34" s="4" t="s">
        <v>42</v>
      </c>
      <c r="E34" s="4">
        <v>3</v>
      </c>
      <c r="F34" s="4" t="s">
        <v>66</v>
      </c>
    </row>
    <row r="35" spans="1:8" x14ac:dyDescent="0.25">
      <c r="B35" s="4" t="s">
        <v>116</v>
      </c>
      <c r="C35" s="3">
        <v>2</v>
      </c>
      <c r="D35" s="4" t="s">
        <v>39</v>
      </c>
      <c r="E35" s="4">
        <v>3</v>
      </c>
      <c r="F35" s="4" t="s">
        <v>66</v>
      </c>
    </row>
    <row r="37" spans="1:8" s="6" customFormat="1" x14ac:dyDescent="0.25">
      <c r="A37" s="6" t="s">
        <v>88</v>
      </c>
      <c r="C37" s="5"/>
      <c r="G37" s="12">
        <f>SUM(E38:E45)</f>
        <v>24</v>
      </c>
      <c r="H37" s="12" t="s">
        <v>66</v>
      </c>
    </row>
    <row r="38" spans="1:8" x14ac:dyDescent="0.25">
      <c r="B38" s="4" t="s">
        <v>27</v>
      </c>
      <c r="C38" s="3">
        <v>1</v>
      </c>
      <c r="D38" s="4" t="s">
        <v>30</v>
      </c>
      <c r="E38" s="4">
        <v>3</v>
      </c>
      <c r="F38" s="4" t="s">
        <v>66</v>
      </c>
    </row>
    <row r="39" spans="1:8" x14ac:dyDescent="0.25">
      <c r="B39" s="4" t="s">
        <v>27</v>
      </c>
      <c r="C39" s="3">
        <v>2</v>
      </c>
      <c r="D39" s="4" t="s">
        <v>28</v>
      </c>
      <c r="E39" s="4">
        <v>3</v>
      </c>
      <c r="F39" s="4" t="s">
        <v>66</v>
      </c>
    </row>
    <row r="40" spans="1:8" x14ac:dyDescent="0.25">
      <c r="B40" s="4" t="s">
        <v>27</v>
      </c>
      <c r="C40" s="3">
        <v>3</v>
      </c>
      <c r="D40" s="8" t="s">
        <v>70</v>
      </c>
      <c r="E40" s="9">
        <v>3</v>
      </c>
      <c r="F40" s="4" t="s">
        <v>66</v>
      </c>
    </row>
    <row r="41" spans="1:8" x14ac:dyDescent="0.25">
      <c r="B41" s="4" t="s">
        <v>27</v>
      </c>
      <c r="C41" s="3">
        <v>4</v>
      </c>
      <c r="D41" s="4" t="s">
        <v>71</v>
      </c>
      <c r="E41" s="9">
        <v>3</v>
      </c>
      <c r="F41" s="4" t="s">
        <v>66</v>
      </c>
    </row>
    <row r="42" spans="1:8" x14ac:dyDescent="0.25">
      <c r="B42" s="4" t="s">
        <v>27</v>
      </c>
      <c r="C42" s="3">
        <v>5</v>
      </c>
      <c r="D42" s="8" t="s">
        <v>43</v>
      </c>
      <c r="E42" s="9">
        <v>3</v>
      </c>
      <c r="F42" s="4" t="s">
        <v>66</v>
      </c>
    </row>
    <row r="43" spans="1:8" x14ac:dyDescent="0.25">
      <c r="B43" s="4" t="s">
        <v>27</v>
      </c>
      <c r="C43" s="3">
        <v>6</v>
      </c>
      <c r="D43" s="4" t="s">
        <v>45</v>
      </c>
      <c r="E43" s="4">
        <v>3</v>
      </c>
      <c r="F43" s="4" t="s">
        <v>66</v>
      </c>
    </row>
    <row r="44" spans="1:8" x14ac:dyDescent="0.25">
      <c r="B44" s="4" t="s">
        <v>27</v>
      </c>
      <c r="C44" s="3">
        <v>7</v>
      </c>
      <c r="D44" s="4" t="s">
        <v>40</v>
      </c>
      <c r="E44" s="4">
        <v>3</v>
      </c>
      <c r="F44" s="4" t="s">
        <v>66</v>
      </c>
      <c r="G44" s="13"/>
    </row>
    <row r="45" spans="1:8" x14ac:dyDescent="0.25">
      <c r="B45" s="4" t="s">
        <v>27</v>
      </c>
      <c r="C45" s="3">
        <v>8</v>
      </c>
      <c r="D45" s="8" t="s">
        <v>58</v>
      </c>
      <c r="E45" s="4">
        <v>3</v>
      </c>
      <c r="F45" s="4" t="s">
        <v>66</v>
      </c>
    </row>
    <row r="46" spans="1:8" x14ac:dyDescent="0.25">
      <c r="D46" s="8"/>
    </row>
    <row r="47" spans="1:8" s="2" customFormat="1" x14ac:dyDescent="0.25">
      <c r="A47" s="6" t="s">
        <v>115</v>
      </c>
      <c r="B47" s="4"/>
      <c r="C47" s="3"/>
      <c r="D47" s="8"/>
      <c r="E47" s="4"/>
      <c r="F47" s="4"/>
      <c r="G47" s="6">
        <f>SUM(E48:E61)</f>
        <v>36</v>
      </c>
      <c r="H47" s="6" t="s">
        <v>66</v>
      </c>
    </row>
    <row r="48" spans="1:8" x14ac:dyDescent="0.25">
      <c r="B48" s="4" t="s">
        <v>49</v>
      </c>
      <c r="C48" s="3">
        <v>1</v>
      </c>
      <c r="D48" s="4" t="s">
        <v>89</v>
      </c>
      <c r="E48" s="4">
        <v>3</v>
      </c>
      <c r="F48" s="4" t="s">
        <v>66</v>
      </c>
    </row>
    <row r="49" spans="1:8" x14ac:dyDescent="0.25">
      <c r="B49" s="4" t="s">
        <v>49</v>
      </c>
      <c r="C49" s="3">
        <v>2</v>
      </c>
      <c r="D49" s="4" t="s">
        <v>90</v>
      </c>
      <c r="E49" s="9">
        <v>3</v>
      </c>
      <c r="F49" s="4" t="s">
        <v>66</v>
      </c>
    </row>
    <row r="50" spans="1:8" x14ac:dyDescent="0.25">
      <c r="B50" s="4" t="s">
        <v>49</v>
      </c>
      <c r="C50" s="3">
        <v>3</v>
      </c>
      <c r="D50" s="4" t="s">
        <v>91</v>
      </c>
      <c r="E50" s="9">
        <v>3</v>
      </c>
      <c r="F50" s="4" t="s">
        <v>66</v>
      </c>
    </row>
    <row r="51" spans="1:8" x14ac:dyDescent="0.25">
      <c r="B51" s="4" t="s">
        <v>49</v>
      </c>
      <c r="C51" s="3">
        <v>4</v>
      </c>
      <c r="D51" s="4" t="s">
        <v>95</v>
      </c>
      <c r="E51" s="9">
        <v>3</v>
      </c>
      <c r="F51" s="4" t="s">
        <v>66</v>
      </c>
    </row>
    <row r="52" spans="1:8" x14ac:dyDescent="0.25">
      <c r="B52" s="4" t="s">
        <v>49</v>
      </c>
      <c r="C52" s="3">
        <v>5</v>
      </c>
      <c r="D52" s="4" t="s">
        <v>93</v>
      </c>
      <c r="E52" s="4">
        <v>3</v>
      </c>
      <c r="F52" s="4" t="s">
        <v>66</v>
      </c>
    </row>
    <row r="53" spans="1:8" x14ac:dyDescent="0.25">
      <c r="B53" s="4" t="s">
        <v>49</v>
      </c>
      <c r="C53" s="3">
        <v>6</v>
      </c>
      <c r="D53" s="4" t="s">
        <v>94</v>
      </c>
      <c r="E53" s="4">
        <v>3</v>
      </c>
      <c r="F53" s="4" t="s">
        <v>66</v>
      </c>
    </row>
    <row r="54" spans="1:8" x14ac:dyDescent="0.25">
      <c r="B54" s="4" t="s">
        <v>49</v>
      </c>
      <c r="C54" s="3">
        <v>7</v>
      </c>
      <c r="D54" s="4" t="s">
        <v>92</v>
      </c>
      <c r="E54" s="4">
        <v>3</v>
      </c>
      <c r="F54" s="4" t="s">
        <v>66</v>
      </c>
    </row>
    <row r="55" spans="1:8" x14ac:dyDescent="0.25">
      <c r="B55" s="4" t="s">
        <v>49</v>
      </c>
      <c r="C55" s="3">
        <v>8</v>
      </c>
      <c r="D55" s="4" t="s">
        <v>96</v>
      </c>
      <c r="E55" s="4">
        <v>3</v>
      </c>
      <c r="F55" s="4" t="s">
        <v>66</v>
      </c>
    </row>
    <row r="57" spans="1:8" s="2" customFormat="1" x14ac:dyDescent="0.25">
      <c r="B57" s="6" t="s">
        <v>118</v>
      </c>
      <c r="C57" s="3"/>
      <c r="D57" s="4"/>
      <c r="E57" s="4"/>
      <c r="F57" s="4"/>
      <c r="G57" s="6"/>
      <c r="H57" s="6"/>
    </row>
    <row r="58" spans="1:8" x14ac:dyDescent="0.25">
      <c r="B58" s="4" t="s">
        <v>49</v>
      </c>
      <c r="C58" s="3">
        <v>9</v>
      </c>
      <c r="D58" s="4" t="s">
        <v>98</v>
      </c>
      <c r="E58" s="9">
        <v>3</v>
      </c>
      <c r="F58" s="4" t="s">
        <v>66</v>
      </c>
    </row>
    <row r="59" spans="1:8" x14ac:dyDescent="0.25">
      <c r="B59" s="4" t="s">
        <v>49</v>
      </c>
      <c r="C59" s="3">
        <v>10</v>
      </c>
      <c r="D59" s="4" t="s">
        <v>99</v>
      </c>
      <c r="E59" s="9">
        <v>3</v>
      </c>
      <c r="F59" s="4" t="s">
        <v>66</v>
      </c>
    </row>
    <row r="60" spans="1:8" x14ac:dyDescent="0.25">
      <c r="B60" s="4" t="s">
        <v>49</v>
      </c>
      <c r="C60" s="3">
        <v>11</v>
      </c>
      <c r="D60" s="4" t="s">
        <v>97</v>
      </c>
      <c r="E60" s="9">
        <v>3</v>
      </c>
      <c r="F60" s="4" t="s">
        <v>66</v>
      </c>
    </row>
    <row r="61" spans="1:8" x14ac:dyDescent="0.25">
      <c r="B61" s="4" t="s">
        <v>49</v>
      </c>
      <c r="C61" s="3">
        <v>12</v>
      </c>
      <c r="D61" s="4" t="s">
        <v>54</v>
      </c>
      <c r="E61" s="4">
        <v>3</v>
      </c>
      <c r="F61" s="4" t="s">
        <v>66</v>
      </c>
    </row>
    <row r="63" spans="1:8" s="6" customFormat="1" x14ac:dyDescent="0.25">
      <c r="A63" s="6" t="s">
        <v>72</v>
      </c>
      <c r="C63" s="5"/>
      <c r="G63" s="12">
        <v>6</v>
      </c>
      <c r="H63" s="12" t="s">
        <v>66</v>
      </c>
    </row>
    <row r="64" spans="1:8" x14ac:dyDescent="0.25">
      <c r="B64" s="4" t="s">
        <v>49</v>
      </c>
      <c r="C64" s="3">
        <v>13</v>
      </c>
      <c r="D64" s="4" t="s">
        <v>56</v>
      </c>
      <c r="E64" s="4">
        <v>6</v>
      </c>
      <c r="F64" s="4" t="s">
        <v>66</v>
      </c>
    </row>
    <row r="66" spans="1:11" x14ac:dyDescent="0.25">
      <c r="A66" s="6" t="s">
        <v>127</v>
      </c>
    </row>
    <row r="67" spans="1:11" ht="14.25" customHeight="1" x14ac:dyDescent="0.25">
      <c r="E67" s="7"/>
    </row>
    <row r="68" spans="1:11" s="6" customFormat="1" x14ac:dyDescent="0.25">
      <c r="B68" s="6" t="s">
        <v>76</v>
      </c>
      <c r="C68" s="5"/>
      <c r="E68" s="12"/>
      <c r="G68" s="12">
        <f>SUM(E69:E74)</f>
        <v>12</v>
      </c>
      <c r="H68" s="12" t="s">
        <v>66</v>
      </c>
    </row>
    <row r="69" spans="1:11" x14ac:dyDescent="0.25">
      <c r="B69" s="4" t="s">
        <v>77</v>
      </c>
      <c r="D69" s="4" t="s">
        <v>8</v>
      </c>
      <c r="E69" s="7">
        <v>2</v>
      </c>
      <c r="F69" s="4" t="s">
        <v>66</v>
      </c>
    </row>
    <row r="70" spans="1:11" x14ac:dyDescent="0.25">
      <c r="B70" s="4" t="s">
        <v>78</v>
      </c>
      <c r="D70" s="4" t="s">
        <v>9</v>
      </c>
      <c r="E70" s="7">
        <v>2</v>
      </c>
      <c r="F70" s="4" t="s">
        <v>66</v>
      </c>
    </row>
    <row r="71" spans="1:11" x14ac:dyDescent="0.25">
      <c r="B71" s="4" t="s">
        <v>79</v>
      </c>
      <c r="D71" s="4" t="s">
        <v>80</v>
      </c>
      <c r="E71" s="7">
        <v>2</v>
      </c>
      <c r="F71" s="4" t="s">
        <v>66</v>
      </c>
    </row>
    <row r="72" spans="1:11" x14ac:dyDescent="0.25">
      <c r="B72" s="4" t="s">
        <v>81</v>
      </c>
      <c r="D72" s="4" t="s">
        <v>25</v>
      </c>
      <c r="E72" s="7">
        <v>2</v>
      </c>
      <c r="F72" s="4" t="s">
        <v>66</v>
      </c>
    </row>
    <row r="73" spans="1:11" x14ac:dyDescent="0.25">
      <c r="B73" s="4" t="s">
        <v>82</v>
      </c>
      <c r="D73" s="4" t="s">
        <v>36</v>
      </c>
      <c r="E73" s="7">
        <v>2</v>
      </c>
      <c r="F73" s="4" t="s">
        <v>66</v>
      </c>
    </row>
    <row r="74" spans="1:11" x14ac:dyDescent="0.25">
      <c r="B74" s="4" t="s">
        <v>83</v>
      </c>
      <c r="D74" s="4" t="s">
        <v>84</v>
      </c>
      <c r="E74" s="7">
        <v>2</v>
      </c>
      <c r="F74" s="4" t="s">
        <v>66</v>
      </c>
    </row>
    <row r="76" spans="1:11" s="2" customFormat="1" x14ac:dyDescent="0.25">
      <c r="B76" s="6" t="s">
        <v>73</v>
      </c>
      <c r="C76" s="3"/>
      <c r="E76" s="7"/>
      <c r="F76" s="4"/>
      <c r="G76" s="6">
        <f>SUM(E77:E79)</f>
        <v>9</v>
      </c>
      <c r="H76" s="6" t="s">
        <v>66</v>
      </c>
      <c r="J76" s="4"/>
      <c r="K76" s="4"/>
    </row>
    <row r="77" spans="1:11" s="2" customFormat="1" x14ac:dyDescent="0.25">
      <c r="B77" s="4" t="s">
        <v>19</v>
      </c>
      <c r="C77" s="3">
        <v>1</v>
      </c>
      <c r="D77" s="4" t="s">
        <v>20</v>
      </c>
      <c r="E77" s="4">
        <v>3</v>
      </c>
      <c r="F77" s="4" t="s">
        <v>66</v>
      </c>
      <c r="G77" s="6"/>
      <c r="H77" s="6"/>
      <c r="J77" s="4"/>
      <c r="K77" s="4"/>
    </row>
    <row r="78" spans="1:11" s="2" customFormat="1" ht="14.25" customHeight="1" x14ac:dyDescent="0.25">
      <c r="B78" s="4" t="s">
        <v>19</v>
      </c>
      <c r="C78" s="3">
        <v>2</v>
      </c>
      <c r="D78" s="4" t="s">
        <v>117</v>
      </c>
      <c r="E78" s="7">
        <v>3</v>
      </c>
      <c r="F78" s="4" t="s">
        <v>66</v>
      </c>
      <c r="G78" s="6"/>
      <c r="H78" s="6"/>
      <c r="J78" s="4"/>
      <c r="K78" s="4"/>
    </row>
    <row r="79" spans="1:11" s="2" customFormat="1" ht="14.25" customHeight="1" x14ac:dyDescent="0.25">
      <c r="B79" s="4" t="s">
        <v>19</v>
      </c>
      <c r="C79" s="3">
        <v>3</v>
      </c>
      <c r="D79" s="58" t="s">
        <v>128</v>
      </c>
      <c r="E79" s="7">
        <v>3</v>
      </c>
      <c r="F79" s="4" t="s">
        <v>66</v>
      </c>
      <c r="G79" s="6"/>
      <c r="H79" s="6"/>
      <c r="J79" s="4"/>
      <c r="K79" s="4"/>
    </row>
    <row r="80" spans="1:11" s="2" customFormat="1" ht="14.25" customHeight="1" x14ac:dyDescent="0.25">
      <c r="B80" s="4"/>
      <c r="C80" s="3"/>
      <c r="D80" s="58"/>
      <c r="E80" s="7"/>
      <c r="F80" s="4"/>
      <c r="G80" s="6"/>
      <c r="H80" s="6"/>
      <c r="J80" s="4"/>
      <c r="K80" s="4"/>
    </row>
    <row r="81" spans="2:8" x14ac:dyDescent="0.25">
      <c r="B81" s="6" t="s">
        <v>85</v>
      </c>
      <c r="F81" s="55">
        <f>SUM(G8:G80)</f>
        <v>143</v>
      </c>
      <c r="G81" s="55"/>
      <c r="H81" s="12" t="s">
        <v>66</v>
      </c>
    </row>
  </sheetData>
  <mergeCells count="7">
    <mergeCell ref="F81:G81"/>
    <mergeCell ref="A1:H1"/>
    <mergeCell ref="A2:H2"/>
    <mergeCell ref="A3:H3"/>
    <mergeCell ref="A4:H4"/>
    <mergeCell ref="A6:H6"/>
    <mergeCell ref="A7:H7"/>
  </mergeCells>
  <pageMargins left="0.45" right="0.36" top="0.75" bottom="0.75" header="0.3" footer="0.3"/>
  <pageSetup paperSize="14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BSBA - FM</vt:lpstr>
      <vt:lpstr>FM Subject Groupings</vt:lpstr>
      <vt:lpstr>BSBA - MM</vt:lpstr>
      <vt:lpstr>MM Subject Groupings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College Faculty</dc:creator>
  <cp:lastModifiedBy>College Faculty</cp:lastModifiedBy>
  <cp:lastPrinted>2022-11-19T05:17:42Z</cp:lastPrinted>
  <dcterms:created xsi:type="dcterms:W3CDTF">2022-11-14T06:35:57Z</dcterms:created>
  <dcterms:modified xsi:type="dcterms:W3CDTF">2023-01-03T00:34:56Z</dcterms:modified>
</cp:coreProperties>
</file>