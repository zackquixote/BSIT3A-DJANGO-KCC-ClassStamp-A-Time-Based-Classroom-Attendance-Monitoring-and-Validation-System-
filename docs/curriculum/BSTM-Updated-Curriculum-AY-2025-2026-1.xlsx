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DEAN SECRETARY\Desktop\CMAT FILES\CMAT EVALUATION FORM\"/>
    </mc:Choice>
  </mc:AlternateContent>
  <xr:revisionPtr revIDLastSave="0" documentId="13_ncr:1_{334B9A9D-3219-42A2-84B5-3E3BB9DFB076}" xr6:coauthVersionLast="47" xr6:coauthVersionMax="47" xr10:uidLastSave="{00000000-0000-0000-0000-000000000000}"/>
  <bookViews>
    <workbookView xWindow="-120" yWindow="-120" windowWidth="20640" windowHeight="11040" activeTab="3" xr2:uid="{00000000-000D-0000-FFFF-FFFF00000000}"/>
  </bookViews>
  <sheets>
    <sheet name="Sheet1" sheetId="1" r:id="rId1"/>
    <sheet name="Sheet2" sheetId="2" r:id="rId2"/>
    <sheet name="Final 10-31" sheetId="3" r:id="rId3"/>
    <sheet name="Final 10-31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4" l="1"/>
  <c r="D54" i="4"/>
  <c r="I47" i="4"/>
  <c r="D46" i="4"/>
  <c r="I34" i="4"/>
  <c r="D34" i="4"/>
  <c r="D20" i="4"/>
  <c r="I19" i="4"/>
  <c r="I54" i="3"/>
  <c r="D54" i="3"/>
  <c r="I47" i="3"/>
  <c r="D46" i="3"/>
  <c r="I34" i="3"/>
  <c r="D34" i="3"/>
  <c r="D20" i="3"/>
  <c r="I19" i="3"/>
  <c r="G100" i="2"/>
  <c r="G96" i="2"/>
  <c r="G86" i="2"/>
  <c r="G79" i="2"/>
  <c r="C77" i="2"/>
  <c r="G75" i="2"/>
  <c r="G72" i="2"/>
  <c r="G65" i="2"/>
  <c r="G53" i="2"/>
  <c r="G37" i="2"/>
  <c r="G27" i="2"/>
  <c r="G23" i="2"/>
  <c r="G8" i="2"/>
  <c r="I52" i="1"/>
  <c r="D52" i="1"/>
  <c r="I45" i="1"/>
  <c r="D45" i="1"/>
  <c r="I33" i="1"/>
  <c r="D33" i="1"/>
  <c r="I19" i="1"/>
  <c r="D19" i="1"/>
</calcChain>
</file>

<file path=xl/sharedStrings.xml><?xml version="1.0" encoding="utf-8"?>
<sst xmlns="http://schemas.openxmlformats.org/spreadsheetml/2006/main" count="811" uniqueCount="148">
  <si>
    <t>Kabankalan Catholic College, Inc.</t>
  </si>
  <si>
    <t>City of Kabankalan, Negros Occidental</t>
  </si>
  <si>
    <t>BACHELOR OF SCIENCE IN TOURISM MANAGEMENT</t>
  </si>
  <si>
    <t>Effective School Year 2025-2026</t>
  </si>
  <si>
    <t xml:space="preserve">F I R S T   Y E A R </t>
  </si>
  <si>
    <t>FIRST SEMESTER</t>
  </si>
  <si>
    <t>SECOND SEMESTER</t>
  </si>
  <si>
    <t>CODE</t>
  </si>
  <si>
    <t>COURSE TITLE</t>
  </si>
  <si>
    <t>UNITS</t>
  </si>
  <si>
    <t>PRE REQUISITE</t>
  </si>
  <si>
    <t xml:space="preserve">Theology </t>
  </si>
  <si>
    <t>Faith and Christology</t>
  </si>
  <si>
    <t>[3]</t>
  </si>
  <si>
    <t>Church History and Social Teachings of the Church</t>
  </si>
  <si>
    <t>Theology 1</t>
  </si>
  <si>
    <t>GE</t>
  </si>
  <si>
    <t>Understanding the Self</t>
  </si>
  <si>
    <t>The Contemporary World</t>
  </si>
  <si>
    <t>Readings in Philippine History</t>
  </si>
  <si>
    <t>Mathematics in the Modern World</t>
  </si>
  <si>
    <t>Purposive Communication</t>
  </si>
  <si>
    <t>TMB</t>
  </si>
  <si>
    <t>Pinciples of Business Management</t>
  </si>
  <si>
    <t>Principles of Accounting</t>
  </si>
  <si>
    <t>TMC</t>
  </si>
  <si>
    <t>Quality Service Management in Tourism and Hospitality</t>
  </si>
  <si>
    <t>TMC 2</t>
  </si>
  <si>
    <t>Macro Perspective of Tourism and Hospitality</t>
  </si>
  <si>
    <t>Micro Perspective of Tourism and Hospitality</t>
  </si>
  <si>
    <t>TMC 1</t>
  </si>
  <si>
    <t xml:space="preserve">TMC </t>
  </si>
  <si>
    <t>Risk Management as Applied to Safety, Security and Sanitation</t>
  </si>
  <si>
    <t>TMP</t>
  </si>
  <si>
    <t>Foreign Language 1</t>
  </si>
  <si>
    <t>PATHFit</t>
  </si>
  <si>
    <t>Physical Activities Toward Health and Fitness 1: Movement Competency Training</t>
  </si>
  <si>
    <t>Physical Activities Toward Health and Fitness 2: Exercise-based Fitness Activities</t>
  </si>
  <si>
    <t>PATHFit 1</t>
  </si>
  <si>
    <t>NSTP</t>
  </si>
  <si>
    <t>CWTS 1/ROTC 1</t>
  </si>
  <si>
    <t>CWTS 2/ROTC 2</t>
  </si>
  <si>
    <t>NSTP 1</t>
  </si>
  <si>
    <t>Total Units</t>
  </si>
  <si>
    <t>SECOND YEAR</t>
  </si>
  <si>
    <t>Science, Technology and Society</t>
  </si>
  <si>
    <t>Sacraments and Liturgy</t>
  </si>
  <si>
    <t>Ethics</t>
  </si>
  <si>
    <t>The Life and Works of Rizal</t>
  </si>
  <si>
    <t>Philippine Indigenous Communities</t>
  </si>
  <si>
    <t>Art Appreciation</t>
  </si>
  <si>
    <t>The Entrepreneurial Mind</t>
  </si>
  <si>
    <t>Living in the IT Era</t>
  </si>
  <si>
    <t>CBME</t>
  </si>
  <si>
    <t>Operations Management and TQM</t>
  </si>
  <si>
    <t>Strategic Management</t>
  </si>
  <si>
    <t xml:space="preserve">TMP </t>
  </si>
  <si>
    <t>Foreign Language 2</t>
  </si>
  <si>
    <t>TMP 1</t>
  </si>
  <si>
    <t>Philippine Culture and Tourism Geography</t>
  </si>
  <si>
    <t>GE 10,TME 1</t>
  </si>
  <si>
    <t>Tourism and Hospitality Marketing</t>
  </si>
  <si>
    <t>TMC 4</t>
  </si>
  <si>
    <t>Tour and Travel Management</t>
  </si>
  <si>
    <t>CBME 1</t>
  </si>
  <si>
    <t>TME</t>
  </si>
  <si>
    <t>Tour Guiding</t>
  </si>
  <si>
    <t>Introduction to Meetings Incentives Conferences and Events Management (with Laboratory)</t>
  </si>
  <si>
    <t>TMC 5</t>
  </si>
  <si>
    <t>Physical Activities Toward Health and Fitness 3: Menu of Dance</t>
  </si>
  <si>
    <t>PATHFit 1&amp;2</t>
  </si>
  <si>
    <t>Physical Activities Toward Health and Fitness 4: Menu of Sports</t>
  </si>
  <si>
    <t xml:space="preserve">T H I R D   Y E A R </t>
  </si>
  <si>
    <t>Christian Morality</t>
  </si>
  <si>
    <t>Entrepreneurship in Tourism and Hospitality</t>
  </si>
  <si>
    <t>Global Culture and Tourism Geography</t>
  </si>
  <si>
    <t>Philippine Gastronomical Tourism (with Laboratory)</t>
  </si>
  <si>
    <t>TMC 6</t>
  </si>
  <si>
    <t>Tourism Policy Planning and Development</t>
  </si>
  <si>
    <t>TMP3, TMC4</t>
  </si>
  <si>
    <t>Sustainable Tourism</t>
  </si>
  <si>
    <t>TMP 6, TME 3</t>
  </si>
  <si>
    <t>Applied Business Tools and Technologies in Tourism (with Laboratory)</t>
  </si>
  <si>
    <t>TMP 3</t>
  </si>
  <si>
    <t>Legal Aspects in Tourism and Hospitality</t>
  </si>
  <si>
    <t>TMC7, TMP 6</t>
  </si>
  <si>
    <t>Transporation Management</t>
  </si>
  <si>
    <t>Professional Development and Applied Ethics</t>
  </si>
  <si>
    <t>GE8, TMC5</t>
  </si>
  <si>
    <t>Ecotourism Management</t>
  </si>
  <si>
    <t>Cruise Tourism</t>
  </si>
  <si>
    <t>TMC1, TMC 4</t>
  </si>
  <si>
    <t>Mulitcultural Diversity in Workplace for the Tourism Professional</t>
  </si>
  <si>
    <t>TMC 1, TMC 4</t>
  </si>
  <si>
    <t>Tourism Product Development (with Laboratory)</t>
  </si>
  <si>
    <t>TMC 6, TMP 5</t>
  </si>
  <si>
    <t xml:space="preserve">F O U R T H   Y E A R </t>
  </si>
  <si>
    <t>Research in Tourism</t>
  </si>
  <si>
    <t>TMPrac</t>
  </si>
  <si>
    <t>Practicum</t>
  </si>
  <si>
    <t>JOCELYN C. BOCAFIGURA, MBA</t>
  </si>
  <si>
    <t>MILAGROS AURE A. SABIDALAS, LPT, Ed.D.</t>
  </si>
  <si>
    <t>Dean - College of Business and Accountancy</t>
  </si>
  <si>
    <t>Vice President for Academic Affairs</t>
  </si>
  <si>
    <t>(BSTM)</t>
  </si>
  <si>
    <t>SUMMARY OF SUBJECT GROUPINGS</t>
  </si>
  <si>
    <t>GENERAL EDUCATION COURSES</t>
  </si>
  <si>
    <t>units</t>
  </si>
  <si>
    <t>Readings in the Philippine History</t>
  </si>
  <si>
    <t>GENERAL EDUCATION ELECTIVES</t>
  </si>
  <si>
    <t>NATIONAL SERVICE TRAINING PROGRAM</t>
  </si>
  <si>
    <t>CWTS/ROTC 1</t>
  </si>
  <si>
    <t>CWTS/ROTC 2</t>
  </si>
  <si>
    <t>PHYSICAL EDUCATION COURSES</t>
  </si>
  <si>
    <t>COMMON BUSINESS COURSES</t>
  </si>
  <si>
    <t>CBME 2</t>
  </si>
  <si>
    <t>CORE  COURSES</t>
  </si>
  <si>
    <t>PROFESSIONAL COURSES</t>
  </si>
  <si>
    <t>Introduction to Meetings Incentives Conferences and Events Management</t>
  </si>
  <si>
    <t>Applied Business Tools and Technologies in Tourism</t>
  </si>
  <si>
    <t>Transportation Management</t>
  </si>
  <si>
    <t>Professional Electives</t>
  </si>
  <si>
    <t>Phillipine Gastronomical Tourism</t>
  </si>
  <si>
    <t>Tourism Product Development</t>
  </si>
  <si>
    <t>PRACTICUM</t>
  </si>
  <si>
    <t>Practicum (600 hours)</t>
  </si>
  <si>
    <t>Bridging Courses</t>
  </si>
  <si>
    <t>Principles of Business Management</t>
  </si>
  <si>
    <t>THEOLOGY</t>
  </si>
  <si>
    <t>Theology</t>
  </si>
  <si>
    <t>Church History abd Social Teachings of the Church</t>
  </si>
  <si>
    <t>Sacrament and Liturgy</t>
  </si>
  <si>
    <t>TOTAL</t>
  </si>
  <si>
    <t>SUMMARY</t>
  </si>
  <si>
    <t>PROFESSIONAL ELECTIVES</t>
  </si>
  <si>
    <t>PRACTICUM (600 hours)</t>
  </si>
  <si>
    <t>Total</t>
  </si>
  <si>
    <t>Revelation and Faith</t>
  </si>
  <si>
    <t>[2]</t>
  </si>
  <si>
    <t>Church History</t>
  </si>
  <si>
    <t xml:space="preserve">Sacraments and Liturgy </t>
  </si>
  <si>
    <t>Christology</t>
  </si>
  <si>
    <t>Moral Theology</t>
  </si>
  <si>
    <t>Social Teachings of the Church and Community Involvement</t>
  </si>
  <si>
    <t>ELIAND REY C. SOLIMAN, LPT, DBA, CMMS</t>
  </si>
  <si>
    <t>Dean - College of Management, Accountancy and Technology</t>
  </si>
  <si>
    <t>JOE-ANN V. JONOTA, LPT, PhD-ELM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</si>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</sst>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\(0\)"/>
  </numFmts>
  <fonts count="32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sz val="10.5"/>
      <color theme="1"/>
      <name val="Calibri"/>
      <charset val="134"/>
      <scheme val="minor"/>
    </font>
    <font>
      <sz val="16"/>
      <color theme="1"/>
      <name val="Old English Text MT"/>
      <charset val="134"/>
    </font>
    <font>
      <b/>
      <sz val="11"/>
      <color theme="1"/>
      <name val="Arial Narrow"/>
      <charset val="134"/>
    </font>
    <font>
      <b/>
      <sz val="11"/>
      <name val="Arial Narrow"/>
      <charset val="134"/>
    </font>
    <font>
      <b/>
      <sz val="10"/>
      <name val="Arial Narrow"/>
      <charset val="134"/>
    </font>
    <font>
      <b/>
      <sz val="8"/>
      <name val="Arial Narrow"/>
      <charset val="134"/>
    </font>
    <font>
      <sz val="10.5"/>
      <name val="Arial Narrow"/>
      <charset val="134"/>
    </font>
    <font>
      <sz val="11"/>
      <name val="Arial Narrow"/>
      <charset val="134"/>
    </font>
    <font>
      <sz val="10"/>
      <name val="Arial Narrow"/>
      <charset val="134"/>
    </font>
    <font>
      <sz val="10.5"/>
      <color theme="1"/>
      <name val="Arial Narrow"/>
      <charset val="134"/>
    </font>
    <font>
      <sz val="10"/>
      <color theme="1"/>
      <name val="Arial Narrow"/>
      <charset val="134"/>
    </font>
    <font>
      <sz val="9"/>
      <name val="Arial Narrow"/>
      <charset val="134"/>
    </font>
    <font>
      <sz val="9.5"/>
      <name val="Arial Narrow"/>
      <charset val="134"/>
    </font>
    <font>
      <sz val="8"/>
      <name val="Arial Narrow"/>
      <charset val="134"/>
    </font>
    <font>
      <sz val="7"/>
      <color theme="1"/>
      <name val="Arial Narrow"/>
      <charset val="134"/>
    </font>
    <font>
      <sz val="9"/>
      <color theme="1"/>
      <name val="Arial Narrow"/>
      <charset val="134"/>
    </font>
    <font>
      <sz val="9.5"/>
      <color theme="1"/>
      <name val="Arial Narrow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sz val="18"/>
      <color theme="1"/>
      <name val="Old English Text MT"/>
      <charset val="134"/>
    </font>
    <font>
      <b/>
      <i/>
      <sz val="12"/>
      <color theme="1"/>
      <name val="Arial Narrow"/>
      <charset val="134"/>
    </font>
    <font>
      <sz val="12"/>
      <name val="Arial Narrow"/>
      <charset val="134"/>
    </font>
    <font>
      <b/>
      <sz val="12"/>
      <name val="Arial Narrow"/>
      <charset val="134"/>
    </font>
    <font>
      <sz val="11"/>
      <color theme="1"/>
      <name val="Calibri"/>
      <charset val="134"/>
      <scheme val="minor"/>
    </font>
    <font>
      <sz val="11"/>
      <name val="Calibri"/>
    </font>
    <font>
      <b/>
      <u/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6" xfId="1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6" xfId="0" applyFont="1" applyBorder="1" applyAlignment="1">
      <alignment horizontal="center" vertical="center" wrapText="1"/>
    </xf>
    <xf numFmtId="164" fontId="16" fillId="0" borderId="6" xfId="1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22" fillId="0" borderId="0" xfId="0" applyFont="1"/>
    <xf numFmtId="0" fontId="1" fillId="0" borderId="0" xfId="0" applyFont="1"/>
    <xf numFmtId="0" fontId="23" fillId="0" borderId="0" xfId="0" applyFont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22" fillId="0" borderId="8" xfId="0" applyFont="1" applyBorder="1"/>
    <xf numFmtId="0" fontId="22" fillId="0" borderId="8" xfId="0" applyFont="1" applyBorder="1" applyAlignment="1">
      <alignment horizontal="center" vertical="center"/>
    </xf>
    <xf numFmtId="0" fontId="30" fillId="0" borderId="0" xfId="0" applyFont="1"/>
    <xf numFmtId="0" fontId="29" fillId="0" borderId="9" xfId="0" applyFont="1" applyBorder="1"/>
    <xf numFmtId="0" fontId="20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54</xdr:row>
      <xdr:rowOff>0</xdr:rowOff>
    </xdr:from>
    <xdr:to>
      <xdr:col>7</xdr:col>
      <xdr:colOff>304800</xdr:colOff>
      <xdr:row>55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4705350" y="127933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705719</xdr:colOff>
      <xdr:row>0</xdr:row>
      <xdr:rowOff>79664</xdr:rowOff>
    </xdr:from>
    <xdr:to>
      <xdr:col>2</xdr:col>
      <xdr:colOff>1533525</xdr:colOff>
      <xdr:row>4</xdr:row>
      <xdr:rowOff>65808</xdr:rowOff>
    </xdr:to>
    <xdr:pic>
      <xdr:nvPicPr>
        <xdr:cNvPr id="3" name="Picture 2" descr="KCC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860" y="79375"/>
          <a:ext cx="828040" cy="805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3</xdr:col>
      <xdr:colOff>494431</xdr:colOff>
      <xdr:row>3</xdr:row>
      <xdr:rowOff>186169</xdr:rowOff>
    </xdr:to>
    <xdr:pic>
      <xdr:nvPicPr>
        <xdr:cNvPr id="2" name="Picture 1" descr="KCC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200"/>
          <a:ext cx="827405" cy="805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47625</xdr:rowOff>
    </xdr:from>
    <xdr:to>
      <xdr:col>2</xdr:col>
      <xdr:colOff>1504950</xdr:colOff>
      <xdr:row>3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5900" y="47625"/>
          <a:ext cx="733425" cy="7334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447675</xdr:colOff>
      <xdr:row>55</xdr:row>
      <xdr:rowOff>38100</xdr:rowOff>
    </xdr:from>
    <xdr:ext cx="1190625" cy="4667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94FE0324-F2C5-4319-9E65-239EE7F65A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12954000"/>
          <a:ext cx="1190625" cy="4667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285750</xdr:colOff>
      <xdr:row>55</xdr:row>
      <xdr:rowOff>47625</xdr:rowOff>
    </xdr:from>
    <xdr:to>
      <xdr:col>7</xdr:col>
      <xdr:colOff>1773116</xdr:colOff>
      <xdr:row>58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6EAAE5-17DB-4635-936C-50B05A14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12963525"/>
          <a:ext cx="148736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47625</xdr:rowOff>
    </xdr:from>
    <xdr:to>
      <xdr:col>2</xdr:col>
      <xdr:colOff>1504950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2AF83-7F4E-4F7E-AD1D-DF58CFD4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5900" y="47625"/>
          <a:ext cx="733425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"/>
  <sheetViews>
    <sheetView workbookViewId="0">
      <selection activeCell="G43" sqref="G43"/>
    </sheetView>
  </sheetViews>
  <sheetFormatPr defaultColWidth="8.85546875" defaultRowHeight="15"/>
  <cols>
    <col min="1" max="1" width="7.7109375" style="4" customWidth="1"/>
    <col min="2" max="2" width="3" style="5" customWidth="1"/>
    <col min="3" max="3" width="34.42578125" style="6" customWidth="1"/>
    <col min="4" max="4" width="4.7109375" style="6" customWidth="1"/>
    <col min="5" max="5" width="10" style="6" customWidth="1"/>
    <col min="6" max="6" width="7.42578125" style="4" customWidth="1"/>
    <col min="7" max="7" width="3.28515625" style="6" customWidth="1"/>
    <col min="8" max="8" width="36.42578125" style="6" customWidth="1"/>
    <col min="9" max="9" width="5" style="6" customWidth="1"/>
    <col min="10" max="10" width="9.5703125" style="6" customWidth="1"/>
    <col min="11" max="16384" width="8.85546875" style="6"/>
  </cols>
  <sheetData>
    <row r="1" spans="1:10" ht="20.2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s="1" customFormat="1" ht="16.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s="1" customFormat="1" ht="11.2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s="1" customFormat="1" ht="16.5">
      <c r="A4" s="100" t="s">
        <v>2</v>
      </c>
      <c r="B4" s="100"/>
      <c r="C4" s="100"/>
      <c r="D4" s="100"/>
      <c r="E4" s="100"/>
      <c r="F4" s="100"/>
      <c r="G4" s="100"/>
      <c r="H4" s="100"/>
      <c r="I4" s="100"/>
      <c r="J4" s="100"/>
    </row>
    <row r="5" spans="1:10" s="1" customFormat="1" ht="16.5">
      <c r="A5" s="99" t="s">
        <v>3</v>
      </c>
      <c r="B5" s="99"/>
      <c r="C5" s="99"/>
      <c r="D5" s="99"/>
      <c r="E5" s="99"/>
      <c r="F5" s="99"/>
      <c r="G5" s="99"/>
      <c r="H5" s="99"/>
      <c r="I5" s="99"/>
      <c r="J5" s="99"/>
    </row>
    <row r="6" spans="1:10" s="1" customFormat="1" ht="16.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</row>
    <row r="7" spans="1:10" s="1" customFormat="1" ht="16.5">
      <c r="A7" s="97" t="s">
        <v>4</v>
      </c>
      <c r="B7" s="97"/>
      <c r="C7" s="97"/>
      <c r="D7" s="97"/>
      <c r="E7" s="97"/>
      <c r="F7" s="97"/>
      <c r="G7" s="97"/>
      <c r="H7" s="97"/>
      <c r="I7" s="97"/>
      <c r="J7" s="97"/>
    </row>
    <row r="8" spans="1:10" s="1" customFormat="1" ht="16.899999999999999" customHeight="1">
      <c r="A8" s="92" t="s">
        <v>5</v>
      </c>
      <c r="B8" s="93"/>
      <c r="C8" s="93"/>
      <c r="D8" s="93"/>
      <c r="E8" s="94"/>
      <c r="F8" s="95" t="s">
        <v>6</v>
      </c>
      <c r="G8" s="95"/>
      <c r="H8" s="95"/>
      <c r="I8" s="95"/>
      <c r="J8" s="95"/>
    </row>
    <row r="9" spans="1:10" s="1" customFormat="1" ht="21.75" customHeight="1">
      <c r="A9" s="96" t="s">
        <v>7</v>
      </c>
      <c r="B9" s="96"/>
      <c r="C9" s="10" t="s">
        <v>8</v>
      </c>
      <c r="D9" s="11" t="s">
        <v>9</v>
      </c>
      <c r="E9" s="11" t="s">
        <v>10</v>
      </c>
      <c r="F9" s="96" t="s">
        <v>7</v>
      </c>
      <c r="G9" s="96"/>
      <c r="H9" s="10" t="s">
        <v>8</v>
      </c>
      <c r="I9" s="11" t="s">
        <v>9</v>
      </c>
      <c r="J9" s="11" t="s">
        <v>10</v>
      </c>
    </row>
    <row r="10" spans="1:10" s="1" customFormat="1" ht="15" customHeight="1">
      <c r="A10" s="12" t="s">
        <v>11</v>
      </c>
      <c r="B10" s="13">
        <v>1</v>
      </c>
      <c r="C10" s="14" t="s">
        <v>12</v>
      </c>
      <c r="D10" s="13" t="s">
        <v>13</v>
      </c>
      <c r="E10" s="13"/>
      <c r="F10" s="12" t="s">
        <v>11</v>
      </c>
      <c r="G10" s="13">
        <v>2</v>
      </c>
      <c r="H10" s="15" t="s">
        <v>14</v>
      </c>
      <c r="I10" s="13" t="s">
        <v>13</v>
      </c>
      <c r="J10" s="29" t="s">
        <v>15</v>
      </c>
    </row>
    <row r="11" spans="1:10" s="1" customFormat="1" ht="16.5">
      <c r="A11" s="16" t="s">
        <v>16</v>
      </c>
      <c r="B11" s="17">
        <v>1</v>
      </c>
      <c r="C11" s="18" t="s">
        <v>17</v>
      </c>
      <c r="D11" s="13">
        <v>3</v>
      </c>
      <c r="E11" s="13"/>
      <c r="F11" s="16" t="s">
        <v>16</v>
      </c>
      <c r="G11" s="17">
        <v>3</v>
      </c>
      <c r="H11" s="18" t="s">
        <v>18</v>
      </c>
      <c r="I11" s="13">
        <v>3</v>
      </c>
      <c r="J11" s="13"/>
    </row>
    <row r="12" spans="1:10" s="1" customFormat="1" ht="16.5">
      <c r="A12" s="16" t="s">
        <v>16</v>
      </c>
      <c r="B12" s="17">
        <v>2</v>
      </c>
      <c r="C12" s="18" t="s">
        <v>19</v>
      </c>
      <c r="D12" s="13">
        <v>3</v>
      </c>
      <c r="E12" s="13"/>
      <c r="F12" s="16" t="s">
        <v>16</v>
      </c>
      <c r="G12" s="17">
        <v>4</v>
      </c>
      <c r="H12" s="19" t="s">
        <v>20</v>
      </c>
      <c r="I12" s="13">
        <v>3</v>
      </c>
      <c r="J12" s="13"/>
    </row>
    <row r="13" spans="1:10" s="1" customFormat="1" ht="16.5">
      <c r="A13" s="16" t="s">
        <v>16</v>
      </c>
      <c r="B13" s="17">
        <v>5</v>
      </c>
      <c r="C13" s="18" t="s">
        <v>21</v>
      </c>
      <c r="D13" s="13">
        <v>3</v>
      </c>
      <c r="E13" s="13"/>
      <c r="F13" s="17" t="s">
        <v>22</v>
      </c>
      <c r="G13" s="17">
        <v>2</v>
      </c>
      <c r="H13" s="18" t="s">
        <v>23</v>
      </c>
      <c r="I13" s="17">
        <v>3</v>
      </c>
      <c r="J13" s="18"/>
    </row>
    <row r="14" spans="1:10" s="1" customFormat="1" ht="25.5">
      <c r="A14" s="12" t="s">
        <v>22</v>
      </c>
      <c r="B14" s="13">
        <v>1</v>
      </c>
      <c r="C14" s="14" t="s">
        <v>24</v>
      </c>
      <c r="D14" s="13">
        <v>3</v>
      </c>
      <c r="E14" s="13"/>
      <c r="F14" s="16" t="s">
        <v>25</v>
      </c>
      <c r="G14" s="17">
        <v>3</v>
      </c>
      <c r="H14" s="15" t="s">
        <v>26</v>
      </c>
      <c r="I14" s="13">
        <v>3</v>
      </c>
      <c r="J14" s="29" t="s">
        <v>27</v>
      </c>
    </row>
    <row r="15" spans="1:10" s="1" customFormat="1" ht="16.5">
      <c r="A15" s="16" t="s">
        <v>25</v>
      </c>
      <c r="B15" s="17">
        <v>1</v>
      </c>
      <c r="C15" s="20" t="s">
        <v>28</v>
      </c>
      <c r="D15" s="13">
        <v>3</v>
      </c>
      <c r="E15" s="13"/>
      <c r="F15" s="12" t="s">
        <v>25</v>
      </c>
      <c r="G15" s="13">
        <v>4</v>
      </c>
      <c r="H15" s="20" t="s">
        <v>29</v>
      </c>
      <c r="I15" s="13">
        <v>3</v>
      </c>
      <c r="J15" s="29" t="s">
        <v>30</v>
      </c>
    </row>
    <row r="16" spans="1:10" s="1" customFormat="1" ht="33">
      <c r="A16" s="16" t="s">
        <v>31</v>
      </c>
      <c r="B16" s="17">
        <v>2</v>
      </c>
      <c r="C16" s="18" t="s">
        <v>32</v>
      </c>
      <c r="D16" s="13">
        <v>3</v>
      </c>
      <c r="E16" s="13"/>
      <c r="F16" s="16" t="s">
        <v>33</v>
      </c>
      <c r="G16" s="17">
        <v>1</v>
      </c>
      <c r="H16" s="19" t="s">
        <v>34</v>
      </c>
      <c r="I16" s="17">
        <v>3</v>
      </c>
      <c r="J16" s="43"/>
    </row>
    <row r="17" spans="1:10" s="1" customFormat="1" ht="31.5" customHeight="1">
      <c r="A17" s="12" t="s">
        <v>35</v>
      </c>
      <c r="B17" s="13">
        <v>1</v>
      </c>
      <c r="C17" s="21" t="s">
        <v>36</v>
      </c>
      <c r="D17" s="13">
        <v>2</v>
      </c>
      <c r="E17" s="13"/>
      <c r="F17" s="12" t="s">
        <v>35</v>
      </c>
      <c r="G17" s="13">
        <v>2</v>
      </c>
      <c r="H17" s="15" t="s">
        <v>37</v>
      </c>
      <c r="I17" s="13">
        <v>2</v>
      </c>
      <c r="J17" s="29" t="s">
        <v>38</v>
      </c>
    </row>
    <row r="18" spans="1:10" s="1" customFormat="1" ht="30.75" customHeight="1">
      <c r="A18" s="12" t="s">
        <v>39</v>
      </c>
      <c r="B18" s="13">
        <v>1</v>
      </c>
      <c r="C18" s="14" t="s">
        <v>40</v>
      </c>
      <c r="D18" s="13">
        <v>3</v>
      </c>
      <c r="E18" s="13"/>
      <c r="F18" s="12" t="s">
        <v>39</v>
      </c>
      <c r="G18" s="13">
        <v>2</v>
      </c>
      <c r="H18" s="14" t="s">
        <v>41</v>
      </c>
      <c r="I18" s="13">
        <v>3</v>
      </c>
      <c r="J18" s="29" t="s">
        <v>42</v>
      </c>
    </row>
    <row r="19" spans="1:10" s="1" customFormat="1" ht="18.75" customHeight="1">
      <c r="A19" s="12"/>
      <c r="B19" s="13"/>
      <c r="C19" s="22" t="s">
        <v>43</v>
      </c>
      <c r="D19" s="9">
        <f>SUM(D9:D18)</f>
        <v>23</v>
      </c>
      <c r="E19" s="13"/>
      <c r="F19" s="12"/>
      <c r="G19" s="13"/>
      <c r="H19" s="22" t="s">
        <v>43</v>
      </c>
      <c r="I19" s="9">
        <f>SUM(I11:I18)</f>
        <v>23</v>
      </c>
      <c r="J19" s="13"/>
    </row>
    <row r="20" spans="1:10" s="1" customFormat="1" ht="16.5">
      <c r="A20" s="23"/>
      <c r="B20" s="24"/>
      <c r="C20" s="25"/>
      <c r="D20" s="26"/>
      <c r="E20" s="24"/>
      <c r="F20" s="23"/>
      <c r="G20" s="24"/>
      <c r="H20" s="25"/>
      <c r="I20" s="26"/>
      <c r="J20" s="24"/>
    </row>
    <row r="21" spans="1:10" s="1" customFormat="1" ht="15" customHeight="1">
      <c r="A21" s="91" t="s">
        <v>44</v>
      </c>
      <c r="B21" s="91"/>
      <c r="C21" s="91"/>
      <c r="D21" s="91"/>
      <c r="E21" s="91"/>
      <c r="F21" s="91"/>
      <c r="G21" s="91"/>
      <c r="H21" s="91"/>
      <c r="I21" s="91"/>
      <c r="J21" s="91"/>
    </row>
    <row r="22" spans="1:10" s="1" customFormat="1" ht="16.899999999999999" customHeight="1">
      <c r="A22" s="92" t="s">
        <v>5</v>
      </c>
      <c r="B22" s="93"/>
      <c r="C22" s="93"/>
      <c r="D22" s="93"/>
      <c r="E22" s="94"/>
      <c r="F22" s="95" t="s">
        <v>6</v>
      </c>
      <c r="G22" s="95"/>
      <c r="H22" s="95"/>
      <c r="I22" s="95"/>
      <c r="J22" s="95"/>
    </row>
    <row r="23" spans="1:10" s="1" customFormat="1" ht="21.75" customHeight="1">
      <c r="A23" s="96" t="s">
        <v>7</v>
      </c>
      <c r="B23" s="96"/>
      <c r="C23" s="10" t="s">
        <v>8</v>
      </c>
      <c r="D23" s="11" t="s">
        <v>9</v>
      </c>
      <c r="E23" s="11" t="s">
        <v>10</v>
      </c>
      <c r="F23" s="96" t="s">
        <v>7</v>
      </c>
      <c r="G23" s="96"/>
      <c r="H23" s="10" t="s">
        <v>8</v>
      </c>
      <c r="I23" s="11" t="s">
        <v>9</v>
      </c>
      <c r="J23" s="11" t="s">
        <v>10</v>
      </c>
    </row>
    <row r="24" spans="1:10" s="1" customFormat="1" ht="14.25" customHeight="1">
      <c r="A24" s="16" t="s">
        <v>16</v>
      </c>
      <c r="B24" s="13">
        <v>7</v>
      </c>
      <c r="C24" s="14" t="s">
        <v>45</v>
      </c>
      <c r="D24" s="13">
        <v>3</v>
      </c>
      <c r="E24" s="29"/>
      <c r="F24" s="12" t="s">
        <v>11</v>
      </c>
      <c r="G24" s="13">
        <v>3</v>
      </c>
      <c r="H24" s="14" t="s">
        <v>46</v>
      </c>
      <c r="I24" s="13" t="s">
        <v>13</v>
      </c>
      <c r="J24" s="29" t="s">
        <v>15</v>
      </c>
    </row>
    <row r="25" spans="1:10" s="1" customFormat="1" ht="13.5" customHeight="1">
      <c r="A25" s="12" t="s">
        <v>16</v>
      </c>
      <c r="B25" s="13">
        <v>8</v>
      </c>
      <c r="C25" s="14" t="s">
        <v>47</v>
      </c>
      <c r="D25" s="13">
        <v>3</v>
      </c>
      <c r="E25" s="13"/>
      <c r="F25" s="12" t="s">
        <v>16</v>
      </c>
      <c r="G25" s="13">
        <v>9</v>
      </c>
      <c r="H25" s="18" t="s">
        <v>48</v>
      </c>
      <c r="I25" s="13">
        <v>3</v>
      </c>
      <c r="J25" s="13"/>
    </row>
    <row r="26" spans="1:10" s="1" customFormat="1" ht="13.5" customHeight="1">
      <c r="A26" s="12" t="s">
        <v>16</v>
      </c>
      <c r="B26" s="13">
        <v>10</v>
      </c>
      <c r="C26" s="14" t="s">
        <v>49</v>
      </c>
      <c r="D26" s="13">
        <v>3</v>
      </c>
      <c r="E26" s="13"/>
      <c r="F26" s="16" t="s">
        <v>16</v>
      </c>
      <c r="G26" s="17">
        <v>6</v>
      </c>
      <c r="H26" s="14" t="s">
        <v>50</v>
      </c>
      <c r="I26" s="13">
        <v>3</v>
      </c>
      <c r="J26" s="18"/>
    </row>
    <row r="27" spans="1:10" s="1" customFormat="1" ht="15" customHeight="1">
      <c r="A27" s="16" t="s">
        <v>16</v>
      </c>
      <c r="B27" s="12">
        <v>11</v>
      </c>
      <c r="C27" s="14" t="s">
        <v>51</v>
      </c>
      <c r="D27" s="13">
        <v>3</v>
      </c>
      <c r="E27" s="18"/>
      <c r="F27" s="12" t="s">
        <v>16</v>
      </c>
      <c r="G27" s="12">
        <v>12</v>
      </c>
      <c r="H27" s="14" t="s">
        <v>52</v>
      </c>
      <c r="I27" s="13">
        <v>3</v>
      </c>
      <c r="J27" s="13"/>
    </row>
    <row r="28" spans="1:10" s="1" customFormat="1" ht="15" customHeight="1">
      <c r="A28" s="16" t="s">
        <v>53</v>
      </c>
      <c r="B28" s="13">
        <v>1</v>
      </c>
      <c r="C28" s="21" t="s">
        <v>54</v>
      </c>
      <c r="D28" s="13">
        <v>3</v>
      </c>
      <c r="E28" s="13"/>
      <c r="F28" s="12" t="s">
        <v>53</v>
      </c>
      <c r="G28" s="13">
        <v>2</v>
      </c>
      <c r="H28" s="14" t="s">
        <v>55</v>
      </c>
      <c r="I28" s="13">
        <v>3</v>
      </c>
      <c r="J28" s="18"/>
    </row>
    <row r="29" spans="1:10" s="1" customFormat="1" ht="15" customHeight="1">
      <c r="A29" s="16" t="s">
        <v>56</v>
      </c>
      <c r="B29" s="17">
        <v>2</v>
      </c>
      <c r="C29" s="18" t="s">
        <v>57</v>
      </c>
      <c r="D29" s="17">
        <v>3</v>
      </c>
      <c r="E29" s="29" t="s">
        <v>58</v>
      </c>
      <c r="F29" s="12" t="s">
        <v>31</v>
      </c>
      <c r="G29" s="13">
        <v>6</v>
      </c>
      <c r="H29" s="15" t="s">
        <v>59</v>
      </c>
      <c r="I29" s="36">
        <v>3</v>
      </c>
      <c r="J29" s="56" t="s">
        <v>60</v>
      </c>
    </row>
    <row r="30" spans="1:10" s="1" customFormat="1" ht="15" customHeight="1">
      <c r="A30" s="12" t="s">
        <v>25</v>
      </c>
      <c r="B30" s="30">
        <v>5</v>
      </c>
      <c r="C30" s="31" t="s">
        <v>61</v>
      </c>
      <c r="D30" s="30">
        <v>3</v>
      </c>
      <c r="E30" s="32" t="s">
        <v>62</v>
      </c>
      <c r="F30" s="16" t="s">
        <v>56</v>
      </c>
      <c r="G30" s="17">
        <v>3</v>
      </c>
      <c r="H30" s="18" t="s">
        <v>63</v>
      </c>
      <c r="I30" s="17">
        <v>3</v>
      </c>
      <c r="J30" s="43" t="s">
        <v>64</v>
      </c>
    </row>
    <row r="31" spans="1:10" s="1" customFormat="1" ht="26.25" customHeight="1">
      <c r="A31" s="16" t="s">
        <v>65</v>
      </c>
      <c r="B31" s="17">
        <v>1</v>
      </c>
      <c r="C31" s="18" t="s">
        <v>66</v>
      </c>
      <c r="D31" s="17">
        <v>3</v>
      </c>
      <c r="E31" s="32" t="s">
        <v>62</v>
      </c>
      <c r="F31" s="16" t="s">
        <v>33</v>
      </c>
      <c r="G31" s="17">
        <v>4</v>
      </c>
      <c r="H31" s="33" t="s">
        <v>67</v>
      </c>
      <c r="I31" s="13">
        <v>3</v>
      </c>
      <c r="J31" s="43" t="s">
        <v>68</v>
      </c>
    </row>
    <row r="32" spans="1:10" s="1" customFormat="1" ht="30" customHeight="1">
      <c r="A32" s="12" t="s">
        <v>35</v>
      </c>
      <c r="B32" s="13">
        <v>3</v>
      </c>
      <c r="C32" s="21" t="s">
        <v>69</v>
      </c>
      <c r="D32" s="13">
        <v>2</v>
      </c>
      <c r="E32" s="34" t="s">
        <v>70</v>
      </c>
      <c r="F32" s="12" t="s">
        <v>35</v>
      </c>
      <c r="G32" s="13">
        <v>4</v>
      </c>
      <c r="H32" s="21" t="s">
        <v>71</v>
      </c>
      <c r="I32" s="36">
        <v>2</v>
      </c>
      <c r="J32" s="34" t="s">
        <v>70</v>
      </c>
    </row>
    <row r="33" spans="1:10" s="1" customFormat="1" ht="16.5">
      <c r="A33" s="35"/>
      <c r="B33" s="36"/>
      <c r="C33" s="22" t="s">
        <v>43</v>
      </c>
      <c r="D33" s="9">
        <f>SUM(D24:D32)</f>
        <v>26</v>
      </c>
      <c r="E33" s="13"/>
      <c r="F33" s="16"/>
      <c r="G33" s="18"/>
      <c r="H33" s="22" t="s">
        <v>43</v>
      </c>
      <c r="I33" s="47">
        <f>SUM(I24:I32)</f>
        <v>23</v>
      </c>
      <c r="J33" s="17"/>
    </row>
    <row r="34" spans="1:10" s="1" customFormat="1" ht="16.5">
      <c r="A34" s="4"/>
      <c r="B34" s="5"/>
      <c r="C34" s="25"/>
      <c r="D34" s="26"/>
      <c r="E34" s="24"/>
      <c r="F34" s="37"/>
      <c r="H34" s="25"/>
      <c r="I34" s="8"/>
      <c r="J34" s="7"/>
    </row>
    <row r="35" spans="1:10" s="1" customFormat="1" ht="16.5">
      <c r="A35" s="91" t="s">
        <v>72</v>
      </c>
      <c r="B35" s="91"/>
      <c r="C35" s="91"/>
      <c r="D35" s="91"/>
      <c r="E35" s="91"/>
      <c r="F35" s="91"/>
      <c r="G35" s="91"/>
      <c r="H35" s="91"/>
      <c r="I35" s="91"/>
      <c r="J35" s="91"/>
    </row>
    <row r="36" spans="1:10" s="1" customFormat="1" ht="16.899999999999999" customHeight="1">
      <c r="A36" s="92" t="s">
        <v>5</v>
      </c>
      <c r="B36" s="93"/>
      <c r="C36" s="93"/>
      <c r="D36" s="93"/>
      <c r="E36" s="94"/>
      <c r="F36" s="95" t="s">
        <v>6</v>
      </c>
      <c r="G36" s="95"/>
      <c r="H36" s="95"/>
      <c r="I36" s="95"/>
      <c r="J36" s="95"/>
    </row>
    <row r="37" spans="1:10" s="1" customFormat="1" ht="21.75" customHeight="1">
      <c r="A37" s="96" t="s">
        <v>7</v>
      </c>
      <c r="B37" s="96"/>
      <c r="C37" s="10" t="s">
        <v>8</v>
      </c>
      <c r="D37" s="11" t="s">
        <v>9</v>
      </c>
      <c r="E37" s="11" t="s">
        <v>10</v>
      </c>
      <c r="F37" s="96" t="s">
        <v>7</v>
      </c>
      <c r="G37" s="96"/>
      <c r="H37" s="10" t="s">
        <v>8</v>
      </c>
      <c r="I37" s="11" t="s">
        <v>9</v>
      </c>
      <c r="J37" s="11" t="s">
        <v>10</v>
      </c>
    </row>
    <row r="38" spans="1:10" s="1" customFormat="1" ht="16.5">
      <c r="A38" s="12" t="s">
        <v>11</v>
      </c>
      <c r="B38" s="13">
        <v>4</v>
      </c>
      <c r="C38" s="14" t="s">
        <v>73</v>
      </c>
      <c r="D38" s="13" t="s">
        <v>13</v>
      </c>
      <c r="E38" s="29" t="s">
        <v>15</v>
      </c>
      <c r="F38" s="12" t="s">
        <v>25</v>
      </c>
      <c r="G38" s="13">
        <v>8</v>
      </c>
      <c r="H38" s="15" t="s">
        <v>74</v>
      </c>
      <c r="I38" s="17">
        <v>3</v>
      </c>
      <c r="J38" s="29" t="s">
        <v>68</v>
      </c>
    </row>
    <row r="39" spans="1:10" s="1" customFormat="1" ht="16.5">
      <c r="A39" s="16" t="s">
        <v>33</v>
      </c>
      <c r="B39" s="17">
        <v>5</v>
      </c>
      <c r="C39" s="18" t="s">
        <v>75</v>
      </c>
      <c r="D39" s="17">
        <v>3</v>
      </c>
      <c r="E39" s="29" t="s">
        <v>68</v>
      </c>
      <c r="F39" s="17" t="s">
        <v>65</v>
      </c>
      <c r="G39" s="17">
        <v>3</v>
      </c>
      <c r="H39" s="42" t="s">
        <v>76</v>
      </c>
      <c r="I39" s="17">
        <v>3</v>
      </c>
      <c r="J39" s="43" t="s">
        <v>77</v>
      </c>
    </row>
    <row r="40" spans="1:10" s="2" customFormat="1" ht="26.25" customHeight="1">
      <c r="A40" s="38" t="s">
        <v>33</v>
      </c>
      <c r="B40" s="30">
        <v>6</v>
      </c>
      <c r="C40" s="39" t="s">
        <v>78</v>
      </c>
      <c r="D40" s="40">
        <v>3</v>
      </c>
      <c r="E40" s="41" t="s">
        <v>79</v>
      </c>
      <c r="F40" s="16" t="s">
        <v>33</v>
      </c>
      <c r="G40" s="17">
        <v>9</v>
      </c>
      <c r="H40" s="18" t="s">
        <v>80</v>
      </c>
      <c r="I40" s="17">
        <v>3</v>
      </c>
      <c r="J40" s="45" t="s">
        <v>81</v>
      </c>
    </row>
    <row r="41" spans="1:10" s="1" customFormat="1" ht="27">
      <c r="A41" s="16" t="s">
        <v>33</v>
      </c>
      <c r="B41" s="17">
        <v>7</v>
      </c>
      <c r="C41" s="19" t="s">
        <v>82</v>
      </c>
      <c r="D41" s="17">
        <v>3</v>
      </c>
      <c r="E41" s="43" t="s">
        <v>83</v>
      </c>
      <c r="F41" s="16" t="s">
        <v>25</v>
      </c>
      <c r="G41" s="17">
        <v>9</v>
      </c>
      <c r="H41" s="44" t="s">
        <v>84</v>
      </c>
      <c r="I41" s="13">
        <v>3</v>
      </c>
      <c r="J41" s="57" t="s">
        <v>85</v>
      </c>
    </row>
    <row r="42" spans="1:10" s="1" customFormat="1" ht="16.5">
      <c r="A42" s="16" t="s">
        <v>56</v>
      </c>
      <c r="B42" s="17">
        <v>8</v>
      </c>
      <c r="C42" s="18" t="s">
        <v>86</v>
      </c>
      <c r="D42" s="36">
        <v>3</v>
      </c>
      <c r="E42" s="43" t="s">
        <v>83</v>
      </c>
      <c r="F42" s="16" t="s">
        <v>25</v>
      </c>
      <c r="G42" s="17">
        <v>10</v>
      </c>
      <c r="H42" s="20" t="s">
        <v>87</v>
      </c>
      <c r="I42" s="13">
        <v>3</v>
      </c>
      <c r="J42" s="57" t="s">
        <v>88</v>
      </c>
    </row>
    <row r="43" spans="1:10" s="1" customFormat="1" ht="16.5">
      <c r="A43" s="16" t="s">
        <v>65</v>
      </c>
      <c r="B43" s="17">
        <v>2</v>
      </c>
      <c r="C43" s="18" t="s">
        <v>89</v>
      </c>
      <c r="D43" s="17">
        <v>3</v>
      </c>
      <c r="E43" s="45"/>
      <c r="F43" s="16" t="s">
        <v>65</v>
      </c>
      <c r="G43" s="17">
        <v>4</v>
      </c>
      <c r="H43" s="18" t="s">
        <v>90</v>
      </c>
      <c r="I43" s="17">
        <v>3</v>
      </c>
      <c r="J43" s="45" t="s">
        <v>91</v>
      </c>
    </row>
    <row r="44" spans="1:10" s="1" customFormat="1" ht="25.5">
      <c r="A44" s="12" t="s">
        <v>25</v>
      </c>
      <c r="B44" s="17">
        <v>7</v>
      </c>
      <c r="C44" s="31" t="s">
        <v>92</v>
      </c>
      <c r="D44" s="17">
        <v>3</v>
      </c>
      <c r="E44" s="45" t="s">
        <v>93</v>
      </c>
      <c r="F44" s="16" t="s">
        <v>65</v>
      </c>
      <c r="G44" s="17">
        <v>5</v>
      </c>
      <c r="H44" s="48" t="s">
        <v>94</v>
      </c>
      <c r="I44" s="17">
        <v>3</v>
      </c>
      <c r="J44" s="45" t="s">
        <v>95</v>
      </c>
    </row>
    <row r="45" spans="1:10" s="1" customFormat="1" ht="16.5">
      <c r="A45" s="16"/>
      <c r="B45" s="17"/>
      <c r="C45" s="46" t="s">
        <v>43</v>
      </c>
      <c r="D45" s="47">
        <f>SUM(D39:D44)</f>
        <v>18</v>
      </c>
      <c r="E45" s="17"/>
      <c r="F45" s="16"/>
      <c r="G45" s="17"/>
      <c r="H45" s="46" t="s">
        <v>43</v>
      </c>
      <c r="I45" s="47">
        <f>SUM(I38:I44)</f>
        <v>21</v>
      </c>
      <c r="J45" s="17"/>
    </row>
    <row r="46" spans="1:10" s="1" customFormat="1" ht="16.5">
      <c r="A46" s="37"/>
      <c r="B46" s="7"/>
      <c r="C46" s="49"/>
      <c r="D46" s="8"/>
      <c r="E46" s="7"/>
      <c r="F46" s="37"/>
      <c r="G46" s="7"/>
      <c r="H46" s="49"/>
      <c r="I46" s="8"/>
      <c r="J46" s="7"/>
    </row>
    <row r="47" spans="1:10" s="1" customFormat="1" ht="16.5">
      <c r="A47" s="91" t="s">
        <v>96</v>
      </c>
      <c r="B47" s="91"/>
      <c r="C47" s="91"/>
      <c r="D47" s="91"/>
      <c r="E47" s="91"/>
      <c r="F47" s="91"/>
      <c r="G47" s="91"/>
      <c r="H47" s="91"/>
      <c r="I47" s="91"/>
      <c r="J47" s="91"/>
    </row>
    <row r="48" spans="1:10" s="1" customFormat="1" ht="16.899999999999999" customHeight="1">
      <c r="A48" s="92" t="s">
        <v>5</v>
      </c>
      <c r="B48" s="93"/>
      <c r="C48" s="93"/>
      <c r="D48" s="93"/>
      <c r="E48" s="94"/>
      <c r="F48" s="95" t="s">
        <v>6</v>
      </c>
      <c r="G48" s="95"/>
      <c r="H48" s="95"/>
      <c r="I48" s="95"/>
      <c r="J48" s="95"/>
    </row>
    <row r="49" spans="1:10" s="1" customFormat="1" ht="21.75" customHeight="1">
      <c r="A49" s="96" t="s">
        <v>7</v>
      </c>
      <c r="B49" s="96"/>
      <c r="C49" s="10" t="s">
        <v>8</v>
      </c>
      <c r="D49" s="11" t="s">
        <v>9</v>
      </c>
      <c r="E49" s="11" t="s">
        <v>10</v>
      </c>
      <c r="F49" s="96" t="s">
        <v>7</v>
      </c>
      <c r="G49" s="96"/>
      <c r="H49" s="10" t="s">
        <v>8</v>
      </c>
      <c r="I49" s="11" t="s">
        <v>9</v>
      </c>
      <c r="J49" s="11" t="s">
        <v>10</v>
      </c>
    </row>
    <row r="50" spans="1:10" s="1" customFormat="1" ht="16.5">
      <c r="A50" s="12" t="s">
        <v>33</v>
      </c>
      <c r="B50" s="13">
        <v>10</v>
      </c>
      <c r="C50" s="19" t="s">
        <v>97</v>
      </c>
      <c r="D50" s="50">
        <v>3</v>
      </c>
      <c r="E50" s="13"/>
      <c r="F50" s="28" t="s">
        <v>98</v>
      </c>
      <c r="G50" s="51">
        <v>2</v>
      </c>
      <c r="H50" s="19" t="s">
        <v>99</v>
      </c>
      <c r="I50" s="50">
        <v>3</v>
      </c>
      <c r="J50" s="17"/>
    </row>
    <row r="51" spans="1:10" s="1" customFormat="1" ht="16.5">
      <c r="A51" s="28" t="s">
        <v>98</v>
      </c>
      <c r="B51" s="51">
        <v>1</v>
      </c>
      <c r="C51" s="19" t="s">
        <v>99</v>
      </c>
      <c r="D51" s="50">
        <v>3</v>
      </c>
      <c r="E51" s="13"/>
      <c r="F51" s="12"/>
      <c r="G51" s="17"/>
      <c r="H51" s="19"/>
      <c r="I51" s="50"/>
      <c r="J51" s="13"/>
    </row>
    <row r="52" spans="1:10" s="1" customFormat="1" ht="16.5">
      <c r="A52" s="12"/>
      <c r="B52" s="13"/>
      <c r="C52" s="22" t="s">
        <v>43</v>
      </c>
      <c r="D52" s="52">
        <f>SUM(D50:D51)</f>
        <v>6</v>
      </c>
      <c r="E52" s="13"/>
      <c r="F52" s="16"/>
      <c r="G52" s="18"/>
      <c r="H52" s="22" t="s">
        <v>43</v>
      </c>
      <c r="I52" s="52">
        <f>SUM(I50:I51)</f>
        <v>3</v>
      </c>
      <c r="J52" s="58"/>
    </row>
    <row r="53" spans="1:10" ht="16.5">
      <c r="A53" s="37"/>
      <c r="B53" s="7"/>
      <c r="C53" s="53"/>
      <c r="D53" s="7"/>
      <c r="E53" s="7"/>
    </row>
    <row r="55" spans="1:10">
      <c r="H55"/>
    </row>
    <row r="56" spans="1:10" s="3" customFormat="1" ht="15.75">
      <c r="A56" s="54" t="s">
        <v>100</v>
      </c>
      <c r="B56" s="55"/>
      <c r="C56" s="55"/>
      <c r="D56" s="55"/>
      <c r="E56" s="55"/>
      <c r="F56" s="54" t="s">
        <v>101</v>
      </c>
      <c r="G56" s="55"/>
      <c r="H56" s="55"/>
    </row>
    <row r="57" spans="1:10" s="3" customFormat="1" ht="15.75">
      <c r="A57" s="55" t="s">
        <v>102</v>
      </c>
      <c r="B57" s="55"/>
      <c r="C57" s="55"/>
      <c r="D57" s="55"/>
      <c r="E57" s="55"/>
      <c r="F57" s="55" t="s">
        <v>103</v>
      </c>
      <c r="G57" s="55"/>
      <c r="H57" s="55"/>
    </row>
  </sheetData>
  <mergeCells count="25">
    <mergeCell ref="A1:J1"/>
    <mergeCell ref="A2:J2"/>
    <mergeCell ref="A4:J4"/>
    <mergeCell ref="A5:J5"/>
    <mergeCell ref="A6:J6"/>
    <mergeCell ref="A7:J7"/>
    <mergeCell ref="A8:E8"/>
    <mergeCell ref="F8:J8"/>
    <mergeCell ref="A9:B9"/>
    <mergeCell ref="F9:G9"/>
    <mergeCell ref="A21:J21"/>
    <mergeCell ref="A22:E22"/>
    <mergeCell ref="F22:J22"/>
    <mergeCell ref="A23:B23"/>
    <mergeCell ref="F23:G23"/>
    <mergeCell ref="A35:J35"/>
    <mergeCell ref="A36:E36"/>
    <mergeCell ref="F36:J36"/>
    <mergeCell ref="A37:B37"/>
    <mergeCell ref="F37:G37"/>
    <mergeCell ref="A47:J47"/>
    <mergeCell ref="A48:E48"/>
    <mergeCell ref="F48:J48"/>
    <mergeCell ref="A49:B49"/>
    <mergeCell ref="F49:G49"/>
  </mergeCells>
  <pageMargins left="0.34" right="0.13" top="0.3" bottom="0.25" header="0.3" footer="0.3"/>
  <pageSetup paperSize="14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K6" sqref="K6"/>
    </sheetView>
  </sheetViews>
  <sheetFormatPr defaultColWidth="9.28515625" defaultRowHeight="15.75"/>
  <cols>
    <col min="1" max="1" width="1.7109375" style="62" customWidth="1"/>
    <col min="2" max="2" width="9" style="62" customWidth="1"/>
    <col min="3" max="3" width="5.7109375" style="63" customWidth="1"/>
    <col min="4" max="4" width="54.5703125" style="62" customWidth="1"/>
    <col min="5" max="5" width="5.7109375" style="64" customWidth="1"/>
    <col min="6" max="6" width="7.7109375" style="65" customWidth="1"/>
    <col min="7" max="7" width="7.140625" style="62" customWidth="1"/>
    <col min="8" max="8" width="7.5703125" style="63" customWidth="1"/>
    <col min="9" max="16384" width="9.28515625" style="62"/>
  </cols>
  <sheetData>
    <row r="1" spans="1:8" ht="22.5">
      <c r="A1" s="102" t="s">
        <v>0</v>
      </c>
      <c r="B1" s="102"/>
      <c r="C1" s="102"/>
      <c r="D1" s="102"/>
      <c r="E1" s="102"/>
      <c r="F1" s="102"/>
      <c r="G1" s="102"/>
      <c r="H1" s="102"/>
    </row>
    <row r="2" spans="1:8" ht="16.5">
      <c r="A2" s="100" t="s">
        <v>2</v>
      </c>
      <c r="B2" s="100"/>
      <c r="C2" s="100"/>
      <c r="D2" s="100"/>
      <c r="E2" s="100"/>
      <c r="F2" s="100"/>
      <c r="G2" s="100"/>
      <c r="H2" s="100"/>
    </row>
    <row r="3" spans="1:8">
      <c r="A3" s="103" t="s">
        <v>104</v>
      </c>
      <c r="B3" s="103"/>
      <c r="C3" s="103"/>
      <c r="D3" s="103"/>
      <c r="E3" s="103"/>
      <c r="F3" s="103"/>
      <c r="G3" s="103"/>
      <c r="H3" s="103"/>
    </row>
    <row r="4" spans="1:8">
      <c r="A4" s="63"/>
      <c r="B4" s="63"/>
      <c r="D4" s="63"/>
      <c r="G4" s="63"/>
    </row>
    <row r="5" spans="1:8">
      <c r="A5" s="104" t="s">
        <v>105</v>
      </c>
      <c r="B5" s="104"/>
      <c r="C5" s="104"/>
      <c r="D5" s="104"/>
      <c r="E5" s="104"/>
      <c r="F5" s="104"/>
      <c r="G5" s="104"/>
      <c r="H5" s="104"/>
    </row>
    <row r="6" spans="1:8" ht="16.5" customHeight="1">
      <c r="A6" s="99" t="s">
        <v>3</v>
      </c>
      <c r="B6" s="99"/>
      <c r="C6" s="99"/>
      <c r="D6" s="99"/>
      <c r="E6" s="99"/>
      <c r="F6" s="99"/>
      <c r="G6" s="99"/>
      <c r="H6" s="99"/>
    </row>
    <row r="7" spans="1:8">
      <c r="A7" s="63"/>
      <c r="B7" s="63"/>
      <c r="D7" s="63"/>
      <c r="E7" s="63"/>
      <c r="F7" s="63"/>
      <c r="G7" s="63"/>
    </row>
    <row r="8" spans="1:8" s="59" customFormat="1">
      <c r="A8" s="59" t="s">
        <v>106</v>
      </c>
      <c r="C8" s="66"/>
      <c r="E8" s="67"/>
      <c r="F8" s="68"/>
      <c r="G8" s="59">
        <f>SUM(E9:E21)</f>
        <v>36</v>
      </c>
      <c r="H8" s="66" t="s">
        <v>107</v>
      </c>
    </row>
    <row r="9" spans="1:8" ht="16.5">
      <c r="B9" s="62" t="s">
        <v>16</v>
      </c>
      <c r="C9" s="63">
        <v>1</v>
      </c>
      <c r="D9" s="60" t="s">
        <v>17</v>
      </c>
      <c r="E9" s="64">
        <v>3</v>
      </c>
      <c r="F9" s="63" t="s">
        <v>107</v>
      </c>
    </row>
    <row r="10" spans="1:8" ht="16.5">
      <c r="B10" s="62" t="s">
        <v>16</v>
      </c>
      <c r="C10" s="63">
        <v>2</v>
      </c>
      <c r="D10" s="60" t="s">
        <v>108</v>
      </c>
      <c r="E10" s="64">
        <v>3</v>
      </c>
      <c r="F10" s="63" t="s">
        <v>107</v>
      </c>
    </row>
    <row r="11" spans="1:8" ht="16.5">
      <c r="B11" s="62" t="s">
        <v>16</v>
      </c>
      <c r="C11" s="63">
        <v>3</v>
      </c>
      <c r="D11" s="60" t="s">
        <v>18</v>
      </c>
      <c r="E11" s="64">
        <v>3</v>
      </c>
      <c r="F11" s="63" t="s">
        <v>107</v>
      </c>
    </row>
    <row r="12" spans="1:8" ht="16.5">
      <c r="B12" s="62" t="s">
        <v>16</v>
      </c>
      <c r="C12" s="63">
        <v>4</v>
      </c>
      <c r="D12" s="60" t="s">
        <v>20</v>
      </c>
      <c r="E12" s="64">
        <v>3</v>
      </c>
      <c r="F12" s="63" t="s">
        <v>107</v>
      </c>
    </row>
    <row r="13" spans="1:8" ht="16.5">
      <c r="B13" s="62" t="s">
        <v>16</v>
      </c>
      <c r="C13" s="63">
        <v>5</v>
      </c>
      <c r="D13" s="60" t="s">
        <v>21</v>
      </c>
      <c r="E13" s="64">
        <v>3</v>
      </c>
      <c r="F13" s="63" t="s">
        <v>107</v>
      </c>
    </row>
    <row r="14" spans="1:8" ht="16.5">
      <c r="B14" s="62" t="s">
        <v>16</v>
      </c>
      <c r="C14" s="63">
        <v>6</v>
      </c>
      <c r="D14" s="60" t="s">
        <v>50</v>
      </c>
      <c r="E14" s="64">
        <v>3</v>
      </c>
      <c r="F14" s="63" t="s">
        <v>107</v>
      </c>
    </row>
    <row r="15" spans="1:8" ht="16.5">
      <c r="B15" s="62" t="s">
        <v>16</v>
      </c>
      <c r="C15" s="63">
        <v>7</v>
      </c>
      <c r="D15" s="60" t="s">
        <v>45</v>
      </c>
      <c r="E15" s="64">
        <v>3</v>
      </c>
      <c r="F15" s="63" t="s">
        <v>107</v>
      </c>
    </row>
    <row r="16" spans="1:8" ht="16.5">
      <c r="B16" s="62" t="s">
        <v>16</v>
      </c>
      <c r="C16" s="63">
        <v>8</v>
      </c>
      <c r="D16" s="60" t="s">
        <v>47</v>
      </c>
      <c r="E16" s="64">
        <v>3</v>
      </c>
      <c r="F16" s="63" t="s">
        <v>107</v>
      </c>
    </row>
    <row r="17" spans="1:8" ht="16.5">
      <c r="B17" s="62" t="s">
        <v>16</v>
      </c>
      <c r="C17" s="63">
        <v>9</v>
      </c>
      <c r="D17" s="1" t="s">
        <v>48</v>
      </c>
      <c r="E17" s="64">
        <v>3</v>
      </c>
      <c r="F17" s="63" t="s">
        <v>107</v>
      </c>
    </row>
    <row r="18" spans="1:8" s="60" customFormat="1" ht="16.5">
      <c r="B18" s="62"/>
      <c r="C18" s="69" t="s">
        <v>109</v>
      </c>
      <c r="E18" s="64"/>
      <c r="F18" s="63"/>
      <c r="G18" s="59"/>
      <c r="H18" s="66"/>
    </row>
    <row r="19" spans="1:8" s="60" customFormat="1" ht="16.5">
      <c r="B19" s="62" t="s">
        <v>16</v>
      </c>
      <c r="C19" s="63">
        <v>10</v>
      </c>
      <c r="D19" s="60" t="s">
        <v>49</v>
      </c>
      <c r="E19" s="64">
        <v>3</v>
      </c>
      <c r="F19" s="63" t="s">
        <v>107</v>
      </c>
      <c r="G19" s="59"/>
      <c r="H19" s="59"/>
    </row>
    <row r="20" spans="1:8" s="60" customFormat="1" ht="16.5">
      <c r="B20" s="62" t="s">
        <v>16</v>
      </c>
      <c r="C20" s="63">
        <v>11</v>
      </c>
      <c r="D20" s="60" t="s">
        <v>51</v>
      </c>
      <c r="E20" s="64">
        <v>3</v>
      </c>
      <c r="F20" s="63" t="s">
        <v>107</v>
      </c>
      <c r="G20" s="59"/>
      <c r="H20" s="59"/>
    </row>
    <row r="21" spans="1:8" s="60" customFormat="1" ht="16.5">
      <c r="B21" s="62" t="s">
        <v>16</v>
      </c>
      <c r="C21" s="63">
        <v>12</v>
      </c>
      <c r="D21" s="60" t="s">
        <v>52</v>
      </c>
      <c r="E21" s="64">
        <v>3</v>
      </c>
      <c r="F21" s="63" t="s">
        <v>107</v>
      </c>
      <c r="G21" s="59"/>
      <c r="H21" s="59"/>
    </row>
    <row r="23" spans="1:8" s="59" customFormat="1">
      <c r="A23" s="59" t="s">
        <v>110</v>
      </c>
      <c r="C23" s="66"/>
      <c r="E23" s="67"/>
      <c r="F23" s="68"/>
      <c r="G23" s="59">
        <f>E24+E25</f>
        <v>6</v>
      </c>
      <c r="H23" s="66" t="s">
        <v>107</v>
      </c>
    </row>
    <row r="24" spans="1:8">
      <c r="B24" s="62" t="s">
        <v>39</v>
      </c>
      <c r="C24" s="63">
        <v>1</v>
      </c>
      <c r="D24" s="62" t="s">
        <v>111</v>
      </c>
      <c r="E24" s="64">
        <v>3</v>
      </c>
      <c r="F24" s="65" t="s">
        <v>107</v>
      </c>
    </row>
    <row r="25" spans="1:8">
      <c r="B25" s="62" t="s">
        <v>39</v>
      </c>
      <c r="C25" s="63">
        <v>2</v>
      </c>
      <c r="D25" s="62" t="s">
        <v>112</v>
      </c>
      <c r="E25" s="64">
        <v>3</v>
      </c>
      <c r="F25" s="65" t="s">
        <v>107</v>
      </c>
    </row>
    <row r="27" spans="1:8" s="59" customFormat="1">
      <c r="A27" s="59" t="s">
        <v>113</v>
      </c>
      <c r="C27" s="66"/>
      <c r="E27" s="67"/>
      <c r="F27" s="68"/>
      <c r="G27" s="59">
        <f>SUM(E28:E31)</f>
        <v>8</v>
      </c>
      <c r="H27" s="66" t="s">
        <v>107</v>
      </c>
    </row>
    <row r="28" spans="1:8" s="61" customFormat="1" ht="31.5">
      <c r="B28" s="61" t="s">
        <v>35</v>
      </c>
      <c r="C28" s="70">
        <v>1</v>
      </c>
      <c r="D28" s="61" t="s">
        <v>36</v>
      </c>
      <c r="E28" s="61">
        <v>2</v>
      </c>
      <c r="F28" s="71" t="s">
        <v>107</v>
      </c>
      <c r="G28" s="72"/>
      <c r="H28" s="72"/>
    </row>
    <row r="29" spans="1:8" s="61" customFormat="1" ht="31.5">
      <c r="B29" s="61" t="s">
        <v>35</v>
      </c>
      <c r="C29" s="70">
        <v>2</v>
      </c>
      <c r="D29" s="61" t="s">
        <v>37</v>
      </c>
      <c r="E29" s="61">
        <v>2</v>
      </c>
      <c r="F29" s="71" t="s">
        <v>107</v>
      </c>
      <c r="G29" s="72"/>
      <c r="H29" s="72"/>
    </row>
    <row r="30" spans="1:8" s="61" customFormat="1" ht="31.5">
      <c r="B30" s="61" t="s">
        <v>35</v>
      </c>
      <c r="C30" s="70">
        <v>3</v>
      </c>
      <c r="D30" s="61" t="s">
        <v>69</v>
      </c>
      <c r="E30" s="61">
        <v>2</v>
      </c>
      <c r="F30" s="71" t="s">
        <v>107</v>
      </c>
      <c r="G30" s="72"/>
      <c r="H30" s="72"/>
    </row>
    <row r="31" spans="1:8" s="61" customFormat="1" ht="31.5">
      <c r="B31" s="61" t="s">
        <v>35</v>
      </c>
      <c r="C31" s="70">
        <v>4</v>
      </c>
      <c r="D31" s="61" t="s">
        <v>71</v>
      </c>
      <c r="E31" s="61">
        <v>2</v>
      </c>
      <c r="F31" s="71" t="s">
        <v>107</v>
      </c>
      <c r="G31" s="72"/>
      <c r="H31" s="72"/>
    </row>
    <row r="33" spans="1:8" s="59" customFormat="1">
      <c r="A33" s="59" t="s">
        <v>114</v>
      </c>
      <c r="C33" s="66"/>
      <c r="E33" s="67"/>
      <c r="F33" s="68"/>
      <c r="G33" s="59">
        <v>6</v>
      </c>
      <c r="H33" s="66" t="s">
        <v>107</v>
      </c>
    </row>
    <row r="34" spans="1:8">
      <c r="B34" s="62" t="s">
        <v>64</v>
      </c>
      <c r="D34" s="62" t="s">
        <v>54</v>
      </c>
      <c r="E34" s="64">
        <v>3</v>
      </c>
      <c r="F34" s="65" t="s">
        <v>107</v>
      </c>
    </row>
    <row r="35" spans="1:8">
      <c r="B35" s="62" t="s">
        <v>115</v>
      </c>
      <c r="D35" s="62" t="s">
        <v>55</v>
      </c>
      <c r="E35" s="64">
        <v>3</v>
      </c>
      <c r="F35" s="65" t="s">
        <v>107</v>
      </c>
    </row>
    <row r="37" spans="1:8" s="59" customFormat="1">
      <c r="A37" s="59" t="s">
        <v>116</v>
      </c>
      <c r="C37" s="66"/>
      <c r="E37" s="67"/>
      <c r="F37" s="68"/>
      <c r="G37" s="59">
        <f>SUM(E38:E47)</f>
        <v>30</v>
      </c>
      <c r="H37" s="66" t="s">
        <v>107</v>
      </c>
    </row>
    <row r="38" spans="1:8">
      <c r="B38" s="73" t="s">
        <v>25</v>
      </c>
      <c r="C38" s="65">
        <v>1</v>
      </c>
      <c r="D38" s="74" t="s">
        <v>28</v>
      </c>
      <c r="E38" s="75">
        <v>3</v>
      </c>
      <c r="F38" s="65" t="s">
        <v>107</v>
      </c>
    </row>
    <row r="39" spans="1:8">
      <c r="B39" s="73" t="s">
        <v>25</v>
      </c>
      <c r="C39" s="65">
        <v>2</v>
      </c>
      <c r="D39" s="76" t="s">
        <v>32</v>
      </c>
      <c r="E39" s="75">
        <v>3</v>
      </c>
      <c r="F39" s="65" t="s">
        <v>107</v>
      </c>
    </row>
    <row r="40" spans="1:8">
      <c r="B40" s="73" t="s">
        <v>25</v>
      </c>
      <c r="C40" s="65">
        <v>3</v>
      </c>
      <c r="D40" s="74" t="s">
        <v>26</v>
      </c>
      <c r="E40" s="75">
        <v>3</v>
      </c>
      <c r="F40" s="65" t="s">
        <v>107</v>
      </c>
    </row>
    <row r="41" spans="1:8">
      <c r="B41" s="73" t="s">
        <v>25</v>
      </c>
      <c r="C41" s="77">
        <v>4</v>
      </c>
      <c r="D41" s="74" t="s">
        <v>29</v>
      </c>
      <c r="E41" s="64">
        <v>3</v>
      </c>
      <c r="F41" s="65" t="s">
        <v>107</v>
      </c>
    </row>
    <row r="42" spans="1:8">
      <c r="B42" s="73" t="s">
        <v>25</v>
      </c>
      <c r="C42" s="77">
        <v>5</v>
      </c>
      <c r="D42" s="76" t="s">
        <v>61</v>
      </c>
      <c r="E42" s="64">
        <v>3</v>
      </c>
      <c r="F42" s="65" t="s">
        <v>107</v>
      </c>
      <c r="G42" s="76"/>
    </row>
    <row r="43" spans="1:8">
      <c r="B43" s="73" t="s">
        <v>25</v>
      </c>
      <c r="C43" s="77">
        <v>6</v>
      </c>
      <c r="D43" s="76" t="s">
        <v>59</v>
      </c>
      <c r="E43" s="64">
        <v>3</v>
      </c>
      <c r="F43" s="65" t="s">
        <v>107</v>
      </c>
    </row>
    <row r="44" spans="1:8">
      <c r="B44" s="73" t="s">
        <v>25</v>
      </c>
      <c r="C44" s="65">
        <v>7</v>
      </c>
      <c r="D44" s="76" t="s">
        <v>92</v>
      </c>
      <c r="E44" s="64">
        <v>3</v>
      </c>
      <c r="F44" s="65" t="s">
        <v>107</v>
      </c>
    </row>
    <row r="45" spans="1:8">
      <c r="B45" s="73" t="s">
        <v>25</v>
      </c>
      <c r="C45" s="65">
        <v>8</v>
      </c>
      <c r="D45" s="76" t="s">
        <v>74</v>
      </c>
      <c r="E45" s="64">
        <v>3</v>
      </c>
      <c r="F45" s="65" t="s">
        <v>107</v>
      </c>
    </row>
    <row r="46" spans="1:8">
      <c r="B46" s="73" t="s">
        <v>25</v>
      </c>
      <c r="C46" s="77">
        <v>9</v>
      </c>
      <c r="D46" s="76" t="s">
        <v>84</v>
      </c>
      <c r="E46" s="64">
        <v>3</v>
      </c>
      <c r="F46" s="65" t="s">
        <v>107</v>
      </c>
    </row>
    <row r="47" spans="1:8">
      <c r="B47" s="73" t="s">
        <v>25</v>
      </c>
      <c r="C47" s="65">
        <v>10</v>
      </c>
      <c r="D47" s="76" t="s">
        <v>87</v>
      </c>
      <c r="E47" s="75">
        <v>3</v>
      </c>
      <c r="F47" s="65" t="s">
        <v>107</v>
      </c>
    </row>
    <row r="48" spans="1:8">
      <c r="B48" s="76"/>
      <c r="C48" s="65"/>
      <c r="D48" s="76"/>
    </row>
    <row r="49" spans="1:8">
      <c r="B49" s="76"/>
      <c r="C49" s="65"/>
      <c r="D49" s="76"/>
    </row>
    <row r="50" spans="1:8">
      <c r="B50" s="76"/>
      <c r="C50" s="65"/>
      <c r="D50" s="76"/>
    </row>
    <row r="51" spans="1:8">
      <c r="B51" s="76"/>
      <c r="C51" s="65"/>
      <c r="D51" s="76"/>
    </row>
    <row r="52" spans="1:8">
      <c r="B52" s="76"/>
      <c r="C52" s="65"/>
      <c r="D52" s="76"/>
    </row>
    <row r="53" spans="1:8" s="59" customFormat="1">
      <c r="A53" s="59" t="s">
        <v>117</v>
      </c>
      <c r="C53" s="66"/>
      <c r="E53" s="67"/>
      <c r="F53" s="68"/>
      <c r="G53" s="59">
        <f>SUM(E54:E63)</f>
        <v>30</v>
      </c>
      <c r="H53" s="66" t="s">
        <v>107</v>
      </c>
    </row>
    <row r="54" spans="1:8">
      <c r="B54" s="76" t="s">
        <v>33</v>
      </c>
      <c r="C54" s="65">
        <v>1</v>
      </c>
      <c r="D54" s="74" t="s">
        <v>34</v>
      </c>
      <c r="E54" s="75">
        <v>3</v>
      </c>
      <c r="F54" s="65" t="s">
        <v>107</v>
      </c>
    </row>
    <row r="55" spans="1:8">
      <c r="B55" s="76" t="s">
        <v>33</v>
      </c>
      <c r="C55" s="65">
        <v>2</v>
      </c>
      <c r="D55" s="74" t="s">
        <v>57</v>
      </c>
      <c r="E55" s="78">
        <v>3</v>
      </c>
      <c r="F55" s="65" t="s">
        <v>107</v>
      </c>
    </row>
    <row r="56" spans="1:8">
      <c r="B56" s="76" t="s">
        <v>33</v>
      </c>
      <c r="C56" s="65">
        <v>3</v>
      </c>
      <c r="D56" s="76" t="s">
        <v>63</v>
      </c>
      <c r="E56" s="78">
        <v>3</v>
      </c>
      <c r="F56" s="65" t="s">
        <v>107</v>
      </c>
    </row>
    <row r="57" spans="1:8" ht="31.5">
      <c r="B57" s="76" t="s">
        <v>33</v>
      </c>
      <c r="C57" s="65">
        <v>4</v>
      </c>
      <c r="D57" s="79" t="s">
        <v>118</v>
      </c>
      <c r="E57" s="78">
        <v>3</v>
      </c>
      <c r="F57" s="65" t="s">
        <v>107</v>
      </c>
    </row>
    <row r="58" spans="1:8">
      <c r="B58" s="76" t="s">
        <v>33</v>
      </c>
      <c r="C58" s="65">
        <v>5</v>
      </c>
      <c r="D58" s="76" t="s">
        <v>75</v>
      </c>
      <c r="E58" s="75">
        <v>3</v>
      </c>
      <c r="F58" s="65" t="s">
        <v>107</v>
      </c>
    </row>
    <row r="59" spans="1:8">
      <c r="B59" s="76" t="s">
        <v>33</v>
      </c>
      <c r="C59" s="65">
        <v>6</v>
      </c>
      <c r="D59" s="74" t="s">
        <v>78</v>
      </c>
      <c r="E59" s="78">
        <v>3</v>
      </c>
      <c r="F59" s="65" t="s">
        <v>107</v>
      </c>
    </row>
    <row r="60" spans="1:8">
      <c r="B60" s="76" t="s">
        <v>33</v>
      </c>
      <c r="C60" s="65">
        <v>7</v>
      </c>
      <c r="D60" s="74" t="s">
        <v>119</v>
      </c>
      <c r="E60" s="78">
        <v>3</v>
      </c>
      <c r="F60" s="65" t="s">
        <v>107</v>
      </c>
    </row>
    <row r="61" spans="1:8">
      <c r="B61" s="76" t="s">
        <v>33</v>
      </c>
      <c r="C61" s="65">
        <v>8</v>
      </c>
      <c r="D61" s="74" t="s">
        <v>120</v>
      </c>
      <c r="E61" s="75">
        <v>3</v>
      </c>
      <c r="F61" s="65" t="s">
        <v>107</v>
      </c>
    </row>
    <row r="62" spans="1:8">
      <c r="B62" s="76" t="s">
        <v>33</v>
      </c>
      <c r="C62" s="65">
        <v>9</v>
      </c>
      <c r="D62" s="74" t="s">
        <v>80</v>
      </c>
      <c r="E62" s="78">
        <v>3</v>
      </c>
      <c r="F62" s="65" t="s">
        <v>107</v>
      </c>
    </row>
    <row r="63" spans="1:8">
      <c r="B63" s="76" t="s">
        <v>33</v>
      </c>
      <c r="C63" s="65">
        <v>10</v>
      </c>
      <c r="D63" s="74" t="s">
        <v>97</v>
      </c>
      <c r="E63" s="78">
        <v>3</v>
      </c>
      <c r="F63" s="65" t="s">
        <v>107</v>
      </c>
    </row>
    <row r="64" spans="1:8">
      <c r="B64" s="74"/>
      <c r="C64" s="65"/>
      <c r="D64" s="74"/>
      <c r="E64" s="78"/>
    </row>
    <row r="65" spans="1:8">
      <c r="B65" s="80" t="s">
        <v>121</v>
      </c>
      <c r="C65" s="65"/>
      <c r="D65" s="74"/>
      <c r="E65" s="78"/>
      <c r="G65" s="59">
        <f>SUM(E66:E70)</f>
        <v>15</v>
      </c>
      <c r="H65" s="66" t="s">
        <v>107</v>
      </c>
    </row>
    <row r="66" spans="1:8">
      <c r="B66" s="74" t="s">
        <v>65</v>
      </c>
      <c r="C66" s="77">
        <v>1</v>
      </c>
      <c r="D66" s="76" t="s">
        <v>66</v>
      </c>
      <c r="E66" s="78">
        <v>3</v>
      </c>
      <c r="F66" s="65" t="s">
        <v>107</v>
      </c>
    </row>
    <row r="67" spans="1:8">
      <c r="B67" s="74" t="s">
        <v>65</v>
      </c>
      <c r="C67" s="77">
        <v>2</v>
      </c>
      <c r="D67" s="76" t="s">
        <v>89</v>
      </c>
      <c r="E67" s="78">
        <v>3</v>
      </c>
      <c r="F67" s="65" t="s">
        <v>107</v>
      </c>
    </row>
    <row r="68" spans="1:8">
      <c r="B68" s="74" t="s">
        <v>65</v>
      </c>
      <c r="C68" s="77">
        <v>3</v>
      </c>
      <c r="D68" s="76" t="s">
        <v>122</v>
      </c>
      <c r="E68" s="78">
        <v>3</v>
      </c>
      <c r="F68" s="77" t="s">
        <v>107</v>
      </c>
    </row>
    <row r="69" spans="1:8">
      <c r="B69" s="74" t="s">
        <v>65</v>
      </c>
      <c r="C69" s="77">
        <v>4</v>
      </c>
      <c r="D69" s="74" t="s">
        <v>90</v>
      </c>
      <c r="E69" s="78">
        <v>3</v>
      </c>
      <c r="F69" s="65" t="s">
        <v>107</v>
      </c>
    </row>
    <row r="70" spans="1:8">
      <c r="B70" s="74" t="s">
        <v>65</v>
      </c>
      <c r="C70" s="77">
        <v>5</v>
      </c>
      <c r="D70" s="76" t="s">
        <v>123</v>
      </c>
      <c r="E70" s="75">
        <v>3</v>
      </c>
      <c r="F70" s="65" t="s">
        <v>107</v>
      </c>
    </row>
    <row r="71" spans="1:8">
      <c r="B71" s="74"/>
      <c r="C71" s="77"/>
      <c r="D71" s="74"/>
      <c r="E71" s="78"/>
    </row>
    <row r="72" spans="1:8">
      <c r="A72" s="69" t="s">
        <v>124</v>
      </c>
      <c r="B72" s="74"/>
      <c r="C72" s="77"/>
      <c r="D72" s="74"/>
      <c r="E72" s="78"/>
      <c r="G72" s="59">
        <f>SUM(E73)</f>
        <v>6</v>
      </c>
      <c r="H72" s="66" t="s">
        <v>107</v>
      </c>
    </row>
    <row r="73" spans="1:8">
      <c r="B73" s="74" t="s">
        <v>98</v>
      </c>
      <c r="C73" s="77"/>
      <c r="D73" s="74" t="s">
        <v>125</v>
      </c>
      <c r="E73" s="78">
        <v>6</v>
      </c>
      <c r="F73" s="65" t="s">
        <v>107</v>
      </c>
    </row>
    <row r="74" spans="1:8">
      <c r="B74" s="74"/>
      <c r="C74" s="77"/>
      <c r="D74" s="74"/>
      <c r="E74" s="78"/>
    </row>
    <row r="75" spans="1:8">
      <c r="B75" s="76"/>
      <c r="C75" s="81" t="s">
        <v>126</v>
      </c>
      <c r="D75" s="76"/>
      <c r="G75" s="67">
        <f>SUM(E76:E77)</f>
        <v>6</v>
      </c>
      <c r="H75" s="68" t="s">
        <v>107</v>
      </c>
    </row>
    <row r="76" spans="1:8">
      <c r="B76" s="76" t="s">
        <v>22</v>
      </c>
      <c r="C76" s="65">
        <v>1</v>
      </c>
      <c r="D76" s="76" t="s">
        <v>24</v>
      </c>
      <c r="E76" s="64">
        <v>3</v>
      </c>
      <c r="F76" s="65" t="s">
        <v>107</v>
      </c>
    </row>
    <row r="77" spans="1:8">
      <c r="B77" s="76" t="s">
        <v>22</v>
      </c>
      <c r="C77" s="65">
        <f>C76+1</f>
        <v>2</v>
      </c>
      <c r="D77" s="76" t="s">
        <v>127</v>
      </c>
      <c r="E77" s="64">
        <v>3</v>
      </c>
      <c r="F77" s="65" t="s">
        <v>107</v>
      </c>
    </row>
    <row r="78" spans="1:8">
      <c r="B78" s="76"/>
      <c r="C78" s="65"/>
      <c r="D78" s="76"/>
    </row>
    <row r="79" spans="1:8" s="59" customFormat="1">
      <c r="A79" s="69" t="s">
        <v>128</v>
      </c>
      <c r="C79" s="66"/>
      <c r="E79" s="67"/>
      <c r="F79" s="68"/>
      <c r="G79" s="59">
        <f>SUM(E80:E84)</f>
        <v>12</v>
      </c>
      <c r="H79" s="66" t="s">
        <v>107</v>
      </c>
    </row>
    <row r="80" spans="1:8">
      <c r="B80" s="62" t="s">
        <v>129</v>
      </c>
      <c r="C80" s="63">
        <v>1</v>
      </c>
      <c r="D80" s="62" t="s">
        <v>12</v>
      </c>
      <c r="E80" s="64">
        <v>3</v>
      </c>
      <c r="F80" s="65" t="s">
        <v>107</v>
      </c>
    </row>
    <row r="81" spans="2:8">
      <c r="B81" s="62" t="s">
        <v>129</v>
      </c>
      <c r="C81" s="63">
        <v>2</v>
      </c>
      <c r="D81" s="62" t="s">
        <v>130</v>
      </c>
      <c r="E81" s="64">
        <v>3</v>
      </c>
      <c r="F81" s="65" t="s">
        <v>107</v>
      </c>
    </row>
    <row r="82" spans="2:8">
      <c r="B82" s="62" t="s">
        <v>129</v>
      </c>
      <c r="C82" s="63">
        <v>3</v>
      </c>
      <c r="D82" s="62" t="s">
        <v>131</v>
      </c>
      <c r="E82" s="64">
        <v>3</v>
      </c>
      <c r="F82" s="65" t="s">
        <v>107</v>
      </c>
    </row>
    <row r="83" spans="2:8">
      <c r="B83" s="62" t="s">
        <v>129</v>
      </c>
      <c r="C83" s="63">
        <v>4</v>
      </c>
      <c r="D83" s="62" t="s">
        <v>73</v>
      </c>
      <c r="E83" s="64">
        <v>3</v>
      </c>
      <c r="F83" s="65" t="s">
        <v>107</v>
      </c>
    </row>
    <row r="85" spans="2:8">
      <c r="B85" s="76"/>
      <c r="C85" s="65"/>
      <c r="D85" s="76"/>
    </row>
    <row r="86" spans="2:8">
      <c r="B86" s="62" t="s">
        <v>132</v>
      </c>
      <c r="F86" s="63"/>
      <c r="G86" s="82">
        <f>SUM(G8:G84)</f>
        <v>155</v>
      </c>
      <c r="H86" s="83" t="s">
        <v>107</v>
      </c>
    </row>
    <row r="87" spans="2:8">
      <c r="F87" s="66"/>
      <c r="G87" s="67"/>
      <c r="H87" s="66"/>
    </row>
    <row r="88" spans="2:8">
      <c r="F88" s="66"/>
      <c r="G88" s="67"/>
      <c r="H88" s="66"/>
    </row>
    <row r="89" spans="2:8">
      <c r="B89" s="59" t="s">
        <v>133</v>
      </c>
    </row>
    <row r="90" spans="2:8" s="59" customFormat="1">
      <c r="C90" s="62" t="s">
        <v>106</v>
      </c>
      <c r="E90" s="67"/>
      <c r="F90" s="68"/>
      <c r="G90" s="62">
        <v>36</v>
      </c>
      <c r="H90" s="63" t="s">
        <v>107</v>
      </c>
    </row>
    <row r="91" spans="2:8" s="59" customFormat="1">
      <c r="C91" s="62" t="s">
        <v>110</v>
      </c>
      <c r="E91" s="67"/>
      <c r="F91" s="68"/>
      <c r="G91" s="62">
        <v>6</v>
      </c>
      <c r="H91" s="63" t="s">
        <v>107</v>
      </c>
    </row>
    <row r="92" spans="2:8" s="59" customFormat="1">
      <c r="C92" s="62" t="s">
        <v>113</v>
      </c>
      <c r="E92" s="67"/>
      <c r="F92" s="68"/>
      <c r="G92" s="62">
        <v>8</v>
      </c>
      <c r="H92" s="63" t="s">
        <v>107</v>
      </c>
    </row>
    <row r="93" spans="2:8" s="59" customFormat="1">
      <c r="C93" s="62" t="s">
        <v>114</v>
      </c>
      <c r="E93" s="67"/>
      <c r="F93" s="68"/>
      <c r="G93" s="62">
        <v>6</v>
      </c>
      <c r="H93" s="63" t="s">
        <v>107</v>
      </c>
    </row>
    <row r="94" spans="2:8" s="59" customFormat="1">
      <c r="C94" s="62" t="s">
        <v>116</v>
      </c>
      <c r="E94" s="67"/>
      <c r="F94" s="68"/>
      <c r="G94" s="62">
        <v>30</v>
      </c>
      <c r="H94" s="63" t="s">
        <v>107</v>
      </c>
    </row>
    <row r="95" spans="2:8" s="59" customFormat="1">
      <c r="C95" s="62" t="s">
        <v>117</v>
      </c>
      <c r="E95" s="67"/>
      <c r="F95" s="68"/>
      <c r="G95" s="62">
        <v>30</v>
      </c>
      <c r="H95" s="63" t="s">
        <v>107</v>
      </c>
    </row>
    <row r="96" spans="2:8" s="59" customFormat="1">
      <c r="C96" s="62" t="s">
        <v>134</v>
      </c>
      <c r="E96" s="67"/>
      <c r="F96" s="68"/>
      <c r="G96" s="62">
        <f>G65</f>
        <v>15</v>
      </c>
      <c r="H96" s="63" t="s">
        <v>107</v>
      </c>
    </row>
    <row r="97" spans="3:8" s="59" customFormat="1">
      <c r="C97" s="62" t="s">
        <v>135</v>
      </c>
      <c r="E97" s="67"/>
      <c r="F97" s="68"/>
      <c r="G97" s="62">
        <v>6</v>
      </c>
      <c r="H97" s="63" t="s">
        <v>107</v>
      </c>
    </row>
    <row r="98" spans="3:8" s="59" customFormat="1">
      <c r="C98" s="62" t="s">
        <v>126</v>
      </c>
      <c r="E98" s="67"/>
      <c r="F98" s="68"/>
      <c r="G98" s="62">
        <v>6</v>
      </c>
      <c r="H98" s="63" t="s">
        <v>107</v>
      </c>
    </row>
    <row r="99" spans="3:8" s="59" customFormat="1">
      <c r="C99" s="84" t="s">
        <v>128</v>
      </c>
      <c r="E99" s="67"/>
      <c r="F99" s="68"/>
      <c r="G99" s="62">
        <v>12</v>
      </c>
      <c r="H99" s="63" t="s">
        <v>107</v>
      </c>
    </row>
    <row r="100" spans="3:8" s="59" customFormat="1">
      <c r="C100" s="84"/>
      <c r="D100" s="59" t="s">
        <v>136</v>
      </c>
      <c r="E100" s="67"/>
      <c r="F100" s="68"/>
      <c r="G100" s="85">
        <f>SUM(G90:G99)</f>
        <v>155</v>
      </c>
      <c r="H100" s="86" t="s">
        <v>107</v>
      </c>
    </row>
  </sheetData>
  <mergeCells count="5">
    <mergeCell ref="A1:H1"/>
    <mergeCell ref="A2:H2"/>
    <mergeCell ref="A3:H3"/>
    <mergeCell ref="A5:H5"/>
    <mergeCell ref="A6:H6"/>
  </mergeCells>
  <pageMargins left="0.31" right="0.33" top="0.75" bottom="0.75" header="0.3" footer="0.3"/>
  <pageSetup paperSize="1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9"/>
  <sheetViews>
    <sheetView topLeftCell="A49" workbookViewId="0">
      <selection activeCell="H61" sqref="H61"/>
    </sheetView>
  </sheetViews>
  <sheetFormatPr defaultColWidth="8.85546875" defaultRowHeight="15"/>
  <cols>
    <col min="1" max="1" width="7.7109375" style="4" customWidth="1"/>
    <col min="2" max="2" width="3" style="5" customWidth="1"/>
    <col min="3" max="3" width="34.42578125" style="6" customWidth="1"/>
    <col min="4" max="4" width="4.7109375" style="6" customWidth="1"/>
    <col min="5" max="5" width="10" style="6" customWidth="1"/>
    <col min="6" max="6" width="8" style="4" customWidth="1"/>
    <col min="7" max="7" width="3.28515625" style="6" customWidth="1"/>
    <col min="8" max="8" width="36.42578125" style="6" customWidth="1"/>
    <col min="9" max="9" width="5" style="6" customWidth="1"/>
    <col min="10" max="10" width="9.5703125" style="6" customWidth="1"/>
    <col min="11" max="16384" width="8.85546875" style="6"/>
  </cols>
  <sheetData>
    <row r="1" spans="1:10" ht="20.2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s="1" customFormat="1" ht="16.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s="1" customFormat="1" ht="11.2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s="1" customFormat="1" ht="16.5">
      <c r="A4" s="100" t="s">
        <v>2</v>
      </c>
      <c r="B4" s="100"/>
      <c r="C4" s="100"/>
      <c r="D4" s="100"/>
      <c r="E4" s="100"/>
      <c r="F4" s="100"/>
      <c r="G4" s="100"/>
      <c r="H4" s="100"/>
      <c r="I4" s="100"/>
      <c r="J4" s="100"/>
    </row>
    <row r="5" spans="1:10" s="1" customFormat="1" ht="16.5">
      <c r="A5" s="99" t="s">
        <v>3</v>
      </c>
      <c r="B5" s="99"/>
      <c r="C5" s="99"/>
      <c r="D5" s="99"/>
      <c r="E5" s="99"/>
      <c r="F5" s="99"/>
      <c r="G5" s="99"/>
      <c r="H5" s="99"/>
      <c r="I5" s="99"/>
      <c r="J5" s="99"/>
    </row>
    <row r="6" spans="1:10" s="1" customFormat="1" ht="16.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</row>
    <row r="7" spans="1:10" s="1" customFormat="1" ht="16.5">
      <c r="A7" s="97" t="s">
        <v>4</v>
      </c>
      <c r="B7" s="97"/>
      <c r="C7" s="97"/>
      <c r="D7" s="97"/>
      <c r="E7" s="97"/>
      <c r="F7" s="97"/>
      <c r="G7" s="97"/>
      <c r="H7" s="97"/>
      <c r="I7" s="97"/>
      <c r="J7" s="97"/>
    </row>
    <row r="8" spans="1:10" s="1" customFormat="1" ht="16.899999999999999" customHeight="1">
      <c r="A8" s="92" t="s">
        <v>5</v>
      </c>
      <c r="B8" s="93"/>
      <c r="C8" s="93"/>
      <c r="D8" s="93"/>
      <c r="E8" s="94"/>
      <c r="F8" s="95" t="s">
        <v>6</v>
      </c>
      <c r="G8" s="95"/>
      <c r="H8" s="95"/>
      <c r="I8" s="95"/>
      <c r="J8" s="95"/>
    </row>
    <row r="9" spans="1:10" s="1" customFormat="1" ht="21.75" customHeight="1">
      <c r="A9" s="96" t="s">
        <v>7</v>
      </c>
      <c r="B9" s="96"/>
      <c r="C9" s="10" t="s">
        <v>8</v>
      </c>
      <c r="D9" s="11" t="s">
        <v>9</v>
      </c>
      <c r="E9" s="11" t="s">
        <v>10</v>
      </c>
      <c r="F9" s="96" t="s">
        <v>7</v>
      </c>
      <c r="G9" s="96"/>
      <c r="H9" s="10" t="s">
        <v>8</v>
      </c>
      <c r="I9" s="11" t="s">
        <v>9</v>
      </c>
      <c r="J9" s="11" t="s">
        <v>10</v>
      </c>
    </row>
    <row r="10" spans="1:10" s="1" customFormat="1" ht="15" customHeight="1">
      <c r="A10" s="12" t="s">
        <v>11</v>
      </c>
      <c r="B10" s="13">
        <v>1</v>
      </c>
      <c r="C10" s="14" t="s">
        <v>137</v>
      </c>
      <c r="D10" s="13" t="s">
        <v>138</v>
      </c>
      <c r="E10" s="13"/>
      <c r="F10" s="12" t="s">
        <v>11</v>
      </c>
      <c r="G10" s="13">
        <v>2</v>
      </c>
      <c r="H10" s="15" t="s">
        <v>139</v>
      </c>
      <c r="I10" s="13" t="s">
        <v>138</v>
      </c>
      <c r="J10" s="29" t="s">
        <v>15</v>
      </c>
    </row>
    <row r="11" spans="1:10" s="1" customFormat="1" ht="16.5">
      <c r="A11" s="16" t="s">
        <v>16</v>
      </c>
      <c r="B11" s="17">
        <v>1</v>
      </c>
      <c r="C11" s="18" t="s">
        <v>17</v>
      </c>
      <c r="D11" s="13">
        <v>3</v>
      </c>
      <c r="E11" s="13"/>
      <c r="F11" s="16" t="s">
        <v>16</v>
      </c>
      <c r="G11" s="17">
        <v>3</v>
      </c>
      <c r="H11" s="18" t="s">
        <v>18</v>
      </c>
      <c r="I11" s="13">
        <v>3</v>
      </c>
      <c r="J11" s="13"/>
    </row>
    <row r="12" spans="1:10" s="1" customFormat="1" ht="16.5">
      <c r="A12" s="16" t="s">
        <v>16</v>
      </c>
      <c r="B12" s="17">
        <v>2</v>
      </c>
      <c r="C12" s="18" t="s">
        <v>19</v>
      </c>
      <c r="D12" s="13">
        <v>3</v>
      </c>
      <c r="E12" s="13"/>
      <c r="F12" s="16" t="s">
        <v>16</v>
      </c>
      <c r="G12" s="17">
        <v>4</v>
      </c>
      <c r="H12" s="19" t="s">
        <v>20</v>
      </c>
      <c r="I12" s="13">
        <v>3</v>
      </c>
      <c r="J12" s="13"/>
    </row>
    <row r="13" spans="1:10" s="1" customFormat="1" ht="16.5">
      <c r="A13" s="16" t="s">
        <v>16</v>
      </c>
      <c r="B13" s="17">
        <v>5</v>
      </c>
      <c r="C13" s="18" t="s">
        <v>21</v>
      </c>
      <c r="D13" s="13">
        <v>3</v>
      </c>
      <c r="E13" s="13"/>
      <c r="F13" s="17" t="s">
        <v>22</v>
      </c>
      <c r="G13" s="17">
        <v>2</v>
      </c>
      <c r="H13" s="18" t="s">
        <v>23</v>
      </c>
      <c r="I13" s="17">
        <v>3</v>
      </c>
      <c r="J13" s="18"/>
    </row>
    <row r="14" spans="1:10" s="1" customFormat="1" ht="25.5">
      <c r="A14" s="12" t="s">
        <v>16</v>
      </c>
      <c r="B14" s="13">
        <v>8</v>
      </c>
      <c r="C14" s="14" t="s">
        <v>47</v>
      </c>
      <c r="D14" s="13">
        <v>3</v>
      </c>
      <c r="E14" s="13"/>
      <c r="F14" s="16" t="s">
        <v>25</v>
      </c>
      <c r="G14" s="17">
        <v>3</v>
      </c>
      <c r="H14" s="15" t="s">
        <v>26</v>
      </c>
      <c r="I14" s="13">
        <v>3</v>
      </c>
      <c r="J14" s="29" t="s">
        <v>27</v>
      </c>
    </row>
    <row r="15" spans="1:10" s="1" customFormat="1" ht="16.5">
      <c r="A15" s="12" t="s">
        <v>22</v>
      </c>
      <c r="B15" s="13">
        <v>1</v>
      </c>
      <c r="C15" s="14" t="s">
        <v>24</v>
      </c>
      <c r="D15" s="13">
        <v>3</v>
      </c>
      <c r="E15" s="13"/>
      <c r="F15" s="12" t="s">
        <v>25</v>
      </c>
      <c r="G15" s="13">
        <v>4</v>
      </c>
      <c r="H15" s="20" t="s">
        <v>29</v>
      </c>
      <c r="I15" s="13">
        <v>3</v>
      </c>
      <c r="J15" s="29" t="s">
        <v>30</v>
      </c>
    </row>
    <row r="16" spans="1:10" s="1" customFormat="1" ht="16.5">
      <c r="A16" s="16" t="s">
        <v>25</v>
      </c>
      <c r="B16" s="17">
        <v>1</v>
      </c>
      <c r="C16" s="20" t="s">
        <v>28</v>
      </c>
      <c r="D16" s="13">
        <v>3</v>
      </c>
      <c r="E16" s="13"/>
      <c r="F16" s="16" t="s">
        <v>33</v>
      </c>
      <c r="G16" s="17">
        <v>1</v>
      </c>
      <c r="H16" s="19" t="s">
        <v>34</v>
      </c>
      <c r="I16" s="17">
        <v>3</v>
      </c>
      <c r="J16" s="43"/>
    </row>
    <row r="17" spans="1:10" s="1" customFormat="1" ht="33">
      <c r="A17" s="16" t="s">
        <v>31</v>
      </c>
      <c r="B17" s="17">
        <v>2</v>
      </c>
      <c r="C17" s="18" t="s">
        <v>32</v>
      </c>
      <c r="D17" s="13">
        <v>3</v>
      </c>
      <c r="E17" s="13"/>
      <c r="F17" s="12" t="s">
        <v>35</v>
      </c>
      <c r="G17" s="13">
        <v>2</v>
      </c>
      <c r="H17" s="15" t="s">
        <v>37</v>
      </c>
      <c r="I17" s="13">
        <v>2</v>
      </c>
      <c r="J17" s="29" t="s">
        <v>38</v>
      </c>
    </row>
    <row r="18" spans="1:10" s="1" customFormat="1" ht="31.5" customHeight="1">
      <c r="A18" s="12" t="s">
        <v>35</v>
      </c>
      <c r="B18" s="13">
        <v>1</v>
      </c>
      <c r="C18" s="21" t="s">
        <v>36</v>
      </c>
      <c r="D18" s="13">
        <v>2</v>
      </c>
      <c r="E18" s="13"/>
      <c r="F18" s="12" t="s">
        <v>39</v>
      </c>
      <c r="G18" s="13">
        <v>2</v>
      </c>
      <c r="H18" s="14" t="s">
        <v>41</v>
      </c>
      <c r="I18" s="13">
        <v>3</v>
      </c>
      <c r="J18" s="29" t="s">
        <v>42</v>
      </c>
    </row>
    <row r="19" spans="1:10" s="1" customFormat="1" ht="30.75" customHeight="1">
      <c r="A19" s="12" t="s">
        <v>39</v>
      </c>
      <c r="B19" s="13">
        <v>1</v>
      </c>
      <c r="C19" s="14" t="s">
        <v>40</v>
      </c>
      <c r="D19" s="13">
        <v>3</v>
      </c>
      <c r="E19" s="13"/>
      <c r="F19" s="12"/>
      <c r="G19" s="13"/>
      <c r="H19" s="22" t="s">
        <v>43</v>
      </c>
      <c r="I19" s="9">
        <f>SUM(I10:I18)</f>
        <v>23</v>
      </c>
      <c r="J19" s="13"/>
    </row>
    <row r="20" spans="1:10" s="1" customFormat="1" ht="18.75" customHeight="1">
      <c r="A20" s="12"/>
      <c r="B20" s="13"/>
      <c r="C20" s="22" t="s">
        <v>43</v>
      </c>
      <c r="D20" s="9">
        <f>SUM(D9:D19)</f>
        <v>26</v>
      </c>
      <c r="E20" s="13"/>
      <c r="F20" s="12"/>
      <c r="G20" s="13"/>
      <c r="H20" s="22"/>
      <c r="I20" s="9"/>
      <c r="J20" s="13"/>
    </row>
    <row r="21" spans="1:10" s="1" customFormat="1" ht="16.5">
      <c r="A21" s="23"/>
      <c r="B21" s="24"/>
      <c r="C21" s="25"/>
      <c r="D21" s="26"/>
      <c r="E21" s="24"/>
      <c r="F21" s="23"/>
      <c r="G21" s="24"/>
      <c r="H21" s="25"/>
      <c r="I21" s="26"/>
      <c r="J21" s="24"/>
    </row>
    <row r="22" spans="1:10" s="1" customFormat="1" ht="15" customHeight="1">
      <c r="A22" s="91" t="s">
        <v>44</v>
      </c>
      <c r="B22" s="91"/>
      <c r="C22" s="91"/>
      <c r="D22" s="91"/>
      <c r="E22" s="91"/>
      <c r="F22" s="91"/>
      <c r="G22" s="91"/>
      <c r="H22" s="91"/>
      <c r="I22" s="91"/>
      <c r="J22" s="91"/>
    </row>
    <row r="23" spans="1:10" s="1" customFormat="1" ht="16.899999999999999" customHeight="1">
      <c r="A23" s="92" t="s">
        <v>5</v>
      </c>
      <c r="B23" s="93"/>
      <c r="C23" s="93"/>
      <c r="D23" s="93"/>
      <c r="E23" s="94"/>
      <c r="F23" s="95" t="s">
        <v>6</v>
      </c>
      <c r="G23" s="95"/>
      <c r="H23" s="95"/>
      <c r="I23" s="95"/>
      <c r="J23" s="95"/>
    </row>
    <row r="24" spans="1:10" s="1" customFormat="1" ht="21.75" customHeight="1">
      <c r="A24" s="96" t="s">
        <v>7</v>
      </c>
      <c r="B24" s="96"/>
      <c r="C24" s="10" t="s">
        <v>8</v>
      </c>
      <c r="D24" s="11" t="s">
        <v>9</v>
      </c>
      <c r="E24" s="11" t="s">
        <v>10</v>
      </c>
      <c r="F24" s="96" t="s">
        <v>7</v>
      </c>
      <c r="G24" s="96"/>
      <c r="H24" s="10" t="s">
        <v>8</v>
      </c>
      <c r="I24" s="11" t="s">
        <v>9</v>
      </c>
      <c r="J24" s="11" t="s">
        <v>10</v>
      </c>
    </row>
    <row r="25" spans="1:10" s="1" customFormat="1" ht="15.75" customHeight="1">
      <c r="A25" s="27" t="s">
        <v>11</v>
      </c>
      <c r="B25" s="28">
        <v>3</v>
      </c>
      <c r="C25" s="27" t="s">
        <v>140</v>
      </c>
      <c r="D25" s="13" t="s">
        <v>138</v>
      </c>
      <c r="E25" s="29" t="s">
        <v>15</v>
      </c>
      <c r="F25" s="28" t="s">
        <v>11</v>
      </c>
      <c r="G25" s="28">
        <v>4</v>
      </c>
      <c r="H25" s="27" t="s">
        <v>141</v>
      </c>
      <c r="I25" s="13" t="s">
        <v>138</v>
      </c>
      <c r="J25" s="29" t="s">
        <v>15</v>
      </c>
    </row>
    <row r="26" spans="1:10" s="1" customFormat="1" ht="14.25" customHeight="1">
      <c r="A26" s="16" t="s">
        <v>16</v>
      </c>
      <c r="B26" s="13">
        <v>7</v>
      </c>
      <c r="C26" s="14" t="s">
        <v>45</v>
      </c>
      <c r="D26" s="13">
        <v>3</v>
      </c>
      <c r="E26" s="29"/>
      <c r="F26" s="12" t="s">
        <v>16</v>
      </c>
      <c r="G26" s="13">
        <v>9</v>
      </c>
      <c r="H26" s="18" t="s">
        <v>48</v>
      </c>
      <c r="I26" s="13">
        <v>3</v>
      </c>
      <c r="J26" s="13"/>
    </row>
    <row r="27" spans="1:10" s="1" customFormat="1" ht="13.5" customHeight="1">
      <c r="A27" s="12" t="s">
        <v>16</v>
      </c>
      <c r="B27" s="13">
        <v>10</v>
      </c>
      <c r="C27" s="14" t="s">
        <v>49</v>
      </c>
      <c r="D27" s="13">
        <v>3</v>
      </c>
      <c r="E27" s="13"/>
      <c r="F27" s="16" t="s">
        <v>16</v>
      </c>
      <c r="G27" s="17">
        <v>6</v>
      </c>
      <c r="H27" s="14" t="s">
        <v>50</v>
      </c>
      <c r="I27" s="13">
        <v>3</v>
      </c>
      <c r="J27" s="18"/>
    </row>
    <row r="28" spans="1:10" s="1" customFormat="1" ht="13.5" customHeight="1">
      <c r="A28" s="16" t="s">
        <v>16</v>
      </c>
      <c r="B28" s="12">
        <v>11</v>
      </c>
      <c r="C28" s="14" t="s">
        <v>51</v>
      </c>
      <c r="D28" s="13">
        <v>3</v>
      </c>
      <c r="E28" s="18"/>
      <c r="F28" s="12" t="s">
        <v>16</v>
      </c>
      <c r="G28" s="12">
        <v>12</v>
      </c>
      <c r="H28" s="14" t="s">
        <v>52</v>
      </c>
      <c r="I28" s="13">
        <v>3</v>
      </c>
      <c r="J28" s="13"/>
    </row>
    <row r="29" spans="1:10" s="1" customFormat="1" ht="15" customHeight="1">
      <c r="A29" s="16" t="s">
        <v>53</v>
      </c>
      <c r="B29" s="13">
        <v>1</v>
      </c>
      <c r="C29" s="21" t="s">
        <v>54</v>
      </c>
      <c r="D29" s="13">
        <v>3</v>
      </c>
      <c r="E29" s="13"/>
      <c r="F29" s="12" t="s">
        <v>53</v>
      </c>
      <c r="G29" s="13">
        <v>2</v>
      </c>
      <c r="H29" s="14" t="s">
        <v>55</v>
      </c>
      <c r="I29" s="13">
        <v>3</v>
      </c>
      <c r="J29" s="18"/>
    </row>
    <row r="30" spans="1:10" s="1" customFormat="1" ht="15" customHeight="1">
      <c r="A30" s="16" t="s">
        <v>56</v>
      </c>
      <c r="B30" s="17">
        <v>2</v>
      </c>
      <c r="C30" s="18" t="s">
        <v>57</v>
      </c>
      <c r="D30" s="17">
        <v>3</v>
      </c>
      <c r="E30" s="29" t="s">
        <v>58</v>
      </c>
      <c r="F30" s="12" t="s">
        <v>31</v>
      </c>
      <c r="G30" s="13">
        <v>6</v>
      </c>
      <c r="H30" s="15" t="s">
        <v>59</v>
      </c>
      <c r="I30" s="36">
        <v>3</v>
      </c>
      <c r="J30" s="56" t="s">
        <v>60</v>
      </c>
    </row>
    <row r="31" spans="1:10" s="1" customFormat="1" ht="15" customHeight="1">
      <c r="A31" s="12" t="s">
        <v>25</v>
      </c>
      <c r="B31" s="30">
        <v>5</v>
      </c>
      <c r="C31" s="31" t="s">
        <v>61</v>
      </c>
      <c r="D31" s="30">
        <v>3</v>
      </c>
      <c r="E31" s="32" t="s">
        <v>62</v>
      </c>
      <c r="F31" s="16" t="s">
        <v>56</v>
      </c>
      <c r="G31" s="17">
        <v>3</v>
      </c>
      <c r="H31" s="18" t="s">
        <v>63</v>
      </c>
      <c r="I31" s="17">
        <v>3</v>
      </c>
      <c r="J31" s="43" t="s">
        <v>64</v>
      </c>
    </row>
    <row r="32" spans="1:10" s="1" customFormat="1" ht="25.5">
      <c r="A32" s="16" t="s">
        <v>65</v>
      </c>
      <c r="B32" s="17">
        <v>1</v>
      </c>
      <c r="C32" s="18" t="s">
        <v>66</v>
      </c>
      <c r="D32" s="17">
        <v>3</v>
      </c>
      <c r="E32" s="32" t="s">
        <v>62</v>
      </c>
      <c r="F32" s="16" t="s">
        <v>33</v>
      </c>
      <c r="G32" s="17">
        <v>4</v>
      </c>
      <c r="H32" s="33" t="s">
        <v>67</v>
      </c>
      <c r="I32" s="13">
        <v>3</v>
      </c>
      <c r="J32" s="43" t="s">
        <v>68</v>
      </c>
    </row>
    <row r="33" spans="1:10" s="1" customFormat="1" ht="26.25" customHeight="1">
      <c r="A33" s="12" t="s">
        <v>35</v>
      </c>
      <c r="B33" s="13">
        <v>3</v>
      </c>
      <c r="C33" s="21" t="s">
        <v>69</v>
      </c>
      <c r="D33" s="13">
        <v>2</v>
      </c>
      <c r="E33" s="34" t="s">
        <v>70</v>
      </c>
      <c r="F33" s="12" t="s">
        <v>35</v>
      </c>
      <c r="G33" s="13">
        <v>4</v>
      </c>
      <c r="H33" s="21" t="s">
        <v>71</v>
      </c>
      <c r="I33" s="36">
        <v>2</v>
      </c>
      <c r="J33" s="34" t="s">
        <v>70</v>
      </c>
    </row>
    <row r="34" spans="1:10" s="1" customFormat="1" ht="18" customHeight="1">
      <c r="A34" s="35"/>
      <c r="B34" s="36"/>
      <c r="C34" s="22" t="s">
        <v>43</v>
      </c>
      <c r="D34" s="9">
        <f>SUM(D24:D33)</f>
        <v>23</v>
      </c>
      <c r="E34" s="13"/>
      <c r="F34" s="16"/>
      <c r="G34" s="18"/>
      <c r="H34" s="22" t="s">
        <v>43</v>
      </c>
      <c r="I34" s="47">
        <f>SUM(I26:I33)</f>
        <v>23</v>
      </c>
      <c r="J34" s="17"/>
    </row>
    <row r="35" spans="1:10" s="1" customFormat="1" ht="16.5">
      <c r="A35" s="4"/>
      <c r="B35" s="5"/>
      <c r="C35" s="25"/>
      <c r="D35" s="26"/>
      <c r="E35" s="24"/>
      <c r="F35" s="37"/>
      <c r="H35" s="25"/>
      <c r="I35" s="8"/>
      <c r="J35" s="7"/>
    </row>
    <row r="36" spans="1:10" s="1" customFormat="1" ht="16.5">
      <c r="A36" s="91" t="s">
        <v>72</v>
      </c>
      <c r="B36" s="91"/>
      <c r="C36" s="91"/>
      <c r="D36" s="91"/>
      <c r="E36" s="91"/>
      <c r="F36" s="91"/>
      <c r="G36" s="91"/>
      <c r="H36" s="91"/>
      <c r="I36" s="91"/>
      <c r="J36" s="91"/>
    </row>
    <row r="37" spans="1:10" s="1" customFormat="1" ht="16.899999999999999" customHeight="1">
      <c r="A37" s="92" t="s">
        <v>5</v>
      </c>
      <c r="B37" s="93"/>
      <c r="C37" s="93"/>
      <c r="D37" s="93"/>
      <c r="E37" s="94"/>
      <c r="F37" s="95" t="s">
        <v>6</v>
      </c>
      <c r="G37" s="95"/>
      <c r="H37" s="95"/>
      <c r="I37" s="95"/>
      <c r="J37" s="95"/>
    </row>
    <row r="38" spans="1:10" s="1" customFormat="1" ht="21.75" customHeight="1">
      <c r="A38" s="96" t="s">
        <v>7</v>
      </c>
      <c r="B38" s="96"/>
      <c r="C38" s="10" t="s">
        <v>8</v>
      </c>
      <c r="D38" s="11" t="s">
        <v>9</v>
      </c>
      <c r="E38" s="11" t="s">
        <v>10</v>
      </c>
      <c r="F38" s="96" t="s">
        <v>7</v>
      </c>
      <c r="G38" s="96"/>
      <c r="H38" s="10" t="s">
        <v>8</v>
      </c>
      <c r="I38" s="11" t="s">
        <v>9</v>
      </c>
      <c r="J38" s="11" t="s">
        <v>10</v>
      </c>
    </row>
    <row r="39" spans="1:10" s="1" customFormat="1" ht="27" customHeight="1">
      <c r="A39" s="12" t="s">
        <v>11</v>
      </c>
      <c r="B39" s="13">
        <v>5</v>
      </c>
      <c r="C39" s="14" t="s">
        <v>142</v>
      </c>
      <c r="D39" s="13" t="s">
        <v>138</v>
      </c>
      <c r="E39" s="29" t="s">
        <v>15</v>
      </c>
      <c r="F39" s="28" t="s">
        <v>11</v>
      </c>
      <c r="G39" s="28">
        <v>6</v>
      </c>
      <c r="H39" s="27" t="s">
        <v>143</v>
      </c>
      <c r="I39" s="13" t="s">
        <v>138</v>
      </c>
      <c r="J39" s="29" t="s">
        <v>15</v>
      </c>
    </row>
    <row r="40" spans="1:10" s="1" customFormat="1" ht="16.5">
      <c r="A40" s="16" t="s">
        <v>33</v>
      </c>
      <c r="B40" s="17">
        <v>5</v>
      </c>
      <c r="C40" s="18" t="s">
        <v>75</v>
      </c>
      <c r="D40" s="17">
        <v>3</v>
      </c>
      <c r="E40" s="29" t="s">
        <v>68</v>
      </c>
      <c r="F40" s="12" t="s">
        <v>25</v>
      </c>
      <c r="G40" s="13">
        <v>8</v>
      </c>
      <c r="H40" s="15" t="s">
        <v>74</v>
      </c>
      <c r="I40" s="17">
        <v>3</v>
      </c>
      <c r="J40" s="29" t="s">
        <v>68</v>
      </c>
    </row>
    <row r="41" spans="1:10" s="1" customFormat="1" ht="16.5">
      <c r="A41" s="38" t="s">
        <v>33</v>
      </c>
      <c r="B41" s="30">
        <v>6</v>
      </c>
      <c r="C41" s="39" t="s">
        <v>78</v>
      </c>
      <c r="D41" s="40">
        <v>3</v>
      </c>
      <c r="E41" s="41" t="s">
        <v>79</v>
      </c>
      <c r="F41" s="17" t="s">
        <v>65</v>
      </c>
      <c r="G41" s="17">
        <v>3</v>
      </c>
      <c r="H41" s="42" t="s">
        <v>76</v>
      </c>
      <c r="I41" s="17">
        <v>3</v>
      </c>
      <c r="J41" s="43" t="s">
        <v>77</v>
      </c>
    </row>
    <row r="42" spans="1:10" s="2" customFormat="1" ht="26.25" customHeight="1">
      <c r="A42" s="16" t="s">
        <v>33</v>
      </c>
      <c r="B42" s="17">
        <v>7</v>
      </c>
      <c r="C42" s="19" t="s">
        <v>82</v>
      </c>
      <c r="D42" s="17">
        <v>3</v>
      </c>
      <c r="E42" s="43" t="s">
        <v>83</v>
      </c>
      <c r="F42" s="16" t="s">
        <v>33</v>
      </c>
      <c r="G42" s="17">
        <v>9</v>
      </c>
      <c r="H42" s="18" t="s">
        <v>80</v>
      </c>
      <c r="I42" s="17">
        <v>3</v>
      </c>
      <c r="J42" s="45" t="s">
        <v>81</v>
      </c>
    </row>
    <row r="43" spans="1:10" s="1" customFormat="1" ht="16.5">
      <c r="A43" s="16" t="s">
        <v>56</v>
      </c>
      <c r="B43" s="17">
        <v>8</v>
      </c>
      <c r="C43" s="18" t="s">
        <v>86</v>
      </c>
      <c r="D43" s="36">
        <v>3</v>
      </c>
      <c r="E43" s="43" t="s">
        <v>83</v>
      </c>
      <c r="F43" s="16" t="s">
        <v>25</v>
      </c>
      <c r="G43" s="17">
        <v>9</v>
      </c>
      <c r="H43" s="44" t="s">
        <v>84</v>
      </c>
      <c r="I43" s="13">
        <v>3</v>
      </c>
      <c r="J43" s="57" t="s">
        <v>85</v>
      </c>
    </row>
    <row r="44" spans="1:10" s="1" customFormat="1" ht="16.5">
      <c r="A44" s="16" t="s">
        <v>65</v>
      </c>
      <c r="B44" s="17">
        <v>2</v>
      </c>
      <c r="C44" s="18" t="s">
        <v>89</v>
      </c>
      <c r="D44" s="17">
        <v>3</v>
      </c>
      <c r="E44" s="45"/>
      <c r="F44" s="16" t="s">
        <v>25</v>
      </c>
      <c r="G44" s="17">
        <v>10</v>
      </c>
      <c r="H44" s="20" t="s">
        <v>87</v>
      </c>
      <c r="I44" s="13">
        <v>3</v>
      </c>
      <c r="J44" s="57" t="s">
        <v>88</v>
      </c>
    </row>
    <row r="45" spans="1:10" s="1" customFormat="1" ht="25.5">
      <c r="A45" s="12" t="s">
        <v>25</v>
      </c>
      <c r="B45" s="17">
        <v>7</v>
      </c>
      <c r="C45" s="31" t="s">
        <v>92</v>
      </c>
      <c r="D45" s="17">
        <v>3</v>
      </c>
      <c r="E45" s="45" t="s">
        <v>93</v>
      </c>
      <c r="F45" s="16" t="s">
        <v>65</v>
      </c>
      <c r="G45" s="17">
        <v>4</v>
      </c>
      <c r="H45" s="18" t="s">
        <v>90</v>
      </c>
      <c r="I45" s="17">
        <v>3</v>
      </c>
      <c r="J45" s="45" t="s">
        <v>91</v>
      </c>
    </row>
    <row r="46" spans="1:10" s="1" customFormat="1" ht="16.5">
      <c r="A46" s="16"/>
      <c r="B46" s="17"/>
      <c r="C46" s="46" t="s">
        <v>43</v>
      </c>
      <c r="D46" s="47">
        <f>SUM(D40:D45)</f>
        <v>18</v>
      </c>
      <c r="E46" s="17"/>
      <c r="F46" s="16" t="s">
        <v>65</v>
      </c>
      <c r="G46" s="17">
        <v>5</v>
      </c>
      <c r="H46" s="48" t="s">
        <v>94</v>
      </c>
      <c r="I46" s="17">
        <v>3</v>
      </c>
      <c r="J46" s="45" t="s">
        <v>95</v>
      </c>
    </row>
    <row r="47" spans="1:10" s="1" customFormat="1" ht="16.5">
      <c r="F47" s="16"/>
      <c r="G47" s="17"/>
      <c r="H47" s="46" t="s">
        <v>43</v>
      </c>
      <c r="I47" s="47">
        <f>SUM(I40:I46)</f>
        <v>21</v>
      </c>
      <c r="J47" s="17"/>
    </row>
    <row r="48" spans="1:10" s="1" customFormat="1" ht="16.5">
      <c r="A48" s="37"/>
      <c r="B48" s="7"/>
      <c r="C48" s="49"/>
      <c r="D48" s="8"/>
      <c r="E48" s="7"/>
      <c r="F48" s="37"/>
      <c r="G48" s="7"/>
      <c r="H48" s="49"/>
      <c r="I48" s="8"/>
      <c r="J48" s="7"/>
    </row>
    <row r="49" spans="1:10" s="1" customFormat="1" ht="16.5">
      <c r="A49" s="91" t="s">
        <v>96</v>
      </c>
      <c r="B49" s="91"/>
      <c r="C49" s="91"/>
      <c r="D49" s="91"/>
      <c r="E49" s="91"/>
      <c r="F49" s="91"/>
      <c r="G49" s="91"/>
      <c r="H49" s="91"/>
      <c r="I49" s="91"/>
      <c r="J49" s="91"/>
    </row>
    <row r="50" spans="1:10" s="1" customFormat="1" ht="16.899999999999999" customHeight="1">
      <c r="A50" s="92" t="s">
        <v>5</v>
      </c>
      <c r="B50" s="93"/>
      <c r="C50" s="93"/>
      <c r="D50" s="93"/>
      <c r="E50" s="94"/>
      <c r="F50" s="95" t="s">
        <v>6</v>
      </c>
      <c r="G50" s="95"/>
      <c r="H50" s="95"/>
      <c r="I50" s="95"/>
      <c r="J50" s="95"/>
    </row>
    <row r="51" spans="1:10" s="1" customFormat="1" ht="21.75" customHeight="1">
      <c r="A51" s="96" t="s">
        <v>7</v>
      </c>
      <c r="B51" s="96"/>
      <c r="C51" s="10" t="s">
        <v>8</v>
      </c>
      <c r="D51" s="11" t="s">
        <v>9</v>
      </c>
      <c r="E51" s="11" t="s">
        <v>10</v>
      </c>
      <c r="F51" s="96" t="s">
        <v>7</v>
      </c>
      <c r="G51" s="96"/>
      <c r="H51" s="10" t="s">
        <v>8</v>
      </c>
      <c r="I51" s="11" t="s">
        <v>9</v>
      </c>
      <c r="J51" s="11" t="s">
        <v>10</v>
      </c>
    </row>
    <row r="52" spans="1:10" s="1" customFormat="1" ht="16.5">
      <c r="A52" s="12" t="s">
        <v>33</v>
      </c>
      <c r="B52" s="13">
        <v>10</v>
      </c>
      <c r="C52" s="19" t="s">
        <v>97</v>
      </c>
      <c r="D52" s="50">
        <v>3</v>
      </c>
      <c r="E52" s="13"/>
      <c r="F52" s="28" t="s">
        <v>98</v>
      </c>
      <c r="G52" s="51">
        <v>2</v>
      </c>
      <c r="H52" s="19" t="s">
        <v>99</v>
      </c>
      <c r="I52" s="50">
        <v>3</v>
      </c>
      <c r="J52" s="17"/>
    </row>
    <row r="53" spans="1:10" s="1" customFormat="1" ht="16.5">
      <c r="A53" s="28" t="s">
        <v>98</v>
      </c>
      <c r="B53" s="51">
        <v>1</v>
      </c>
      <c r="C53" s="19" t="s">
        <v>99</v>
      </c>
      <c r="D53" s="50">
        <v>3</v>
      </c>
      <c r="E53" s="13"/>
      <c r="F53" s="12"/>
      <c r="G53" s="17"/>
      <c r="H53" s="19"/>
      <c r="I53" s="50"/>
      <c r="J53" s="13"/>
    </row>
    <row r="54" spans="1:10" s="1" customFormat="1" ht="16.5">
      <c r="A54" s="12"/>
      <c r="B54" s="13"/>
      <c r="C54" s="22" t="s">
        <v>43</v>
      </c>
      <c r="D54" s="52">
        <f>SUM(D52:D53)</f>
        <v>6</v>
      </c>
      <c r="E54" s="13"/>
      <c r="F54" s="16"/>
      <c r="G54" s="18"/>
      <c r="H54" s="22" t="s">
        <v>43</v>
      </c>
      <c r="I54" s="52">
        <f>SUM(I52:I53)</f>
        <v>3</v>
      </c>
      <c r="J54" s="58"/>
    </row>
    <row r="55" spans="1:10" ht="16.5">
      <c r="A55" s="37"/>
      <c r="B55" s="7"/>
      <c r="C55" s="53"/>
      <c r="D55" s="7"/>
      <c r="E55" s="7"/>
    </row>
    <row r="57" spans="1:10">
      <c r="H57"/>
    </row>
    <row r="58" spans="1:10" s="3" customFormat="1" ht="15.75">
      <c r="A58" s="90" t="s">
        <v>144</v>
      </c>
      <c r="B58" s="88"/>
      <c r="C58" s="89"/>
      <c r="D58" s="55"/>
      <c r="E58" s="55"/>
      <c r="F58" s="54"/>
      <c r="G58" s="55"/>
      <c r="H58" s="87" t="s">
        <v>146</v>
      </c>
    </row>
    <row r="59" spans="1:10" s="3" customFormat="1" ht="15.75">
      <c r="A59" s="55" t="s">
        <v>145</v>
      </c>
      <c r="B59" s="55"/>
      <c r="C59" s="55"/>
      <c r="D59" s="55"/>
      <c r="E59" s="55"/>
      <c r="G59" s="55"/>
      <c r="H59" s="55" t="s">
        <v>103</v>
      </c>
    </row>
  </sheetData>
  <mergeCells count="25">
    <mergeCell ref="A1:J1"/>
    <mergeCell ref="A2:J2"/>
    <mergeCell ref="A4:J4"/>
    <mergeCell ref="A5:J5"/>
    <mergeCell ref="A6:J6"/>
    <mergeCell ref="A7:J7"/>
    <mergeCell ref="A8:E8"/>
    <mergeCell ref="F8:J8"/>
    <mergeCell ref="A9:B9"/>
    <mergeCell ref="F9:G9"/>
    <mergeCell ref="A22:J22"/>
    <mergeCell ref="A23:E23"/>
    <mergeCell ref="F23:J23"/>
    <mergeCell ref="A24:B24"/>
    <mergeCell ref="F24:G24"/>
    <mergeCell ref="A36:J36"/>
    <mergeCell ref="A37:E37"/>
    <mergeCell ref="F37:J37"/>
    <mergeCell ref="A38:B38"/>
    <mergeCell ref="F38:G38"/>
    <mergeCell ref="A49:J49"/>
    <mergeCell ref="A50:E50"/>
    <mergeCell ref="F50:J50"/>
    <mergeCell ref="A51:B51"/>
    <mergeCell ref="F51:G51"/>
  </mergeCells>
  <pageMargins left="0.34" right="0.13" top="0.3" bottom="0.25" header="0.3" footer="0.3"/>
  <pageSetup paperSize="14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735E-E098-438C-BA24-F0405C32E2E9}">
  <sheetPr>
    <pageSetUpPr fitToPage="1"/>
  </sheetPr>
  <dimension ref="A1:N55"/>
  <sheetViews>
    <sheetView tabSelected="1" topLeftCell="A4" workbookViewId="0">
      <selection activeCell="N11" sqref="N11"/>
    </sheetView>
  </sheetViews>
  <sheetFormatPr defaultColWidth="8.85546875" defaultRowHeight="15"/>
  <cols>
    <col min="1" max="1" width="7.7109375" style="4" customWidth="1"/>
    <col min="2" max="2" width="3" style="5" customWidth="1"/>
    <col min="3" max="3" width="34.42578125" style="6" customWidth="1"/>
    <col min="4" max="4" width="4.7109375" style="6" customWidth="1"/>
    <col min="5" max="5" width="10" style="6" customWidth="1"/>
    <col min="6" max="6" width="8" style="4" customWidth="1"/>
    <col min="7" max="7" width="3.28515625" style="6" customWidth="1"/>
    <col min="8" max="8" width="36.42578125" style="6" customWidth="1"/>
    <col min="9" max="9" width="5" style="6" customWidth="1"/>
    <col min="10" max="10" width="9.5703125" style="6" customWidth="1"/>
    <col min="11" max="16384" width="8.85546875" style="6"/>
  </cols>
  <sheetData>
    <row r="1" spans="1:14" ht="20.2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</row>
    <row r="2" spans="1:14" s="1" customFormat="1" ht="16.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</row>
    <row r="3" spans="1:14" s="1" customFormat="1" ht="11.2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4" s="1" customFormat="1" ht="16.5">
      <c r="A4" s="100" t="s">
        <v>2</v>
      </c>
      <c r="B4" s="100"/>
      <c r="C4" s="100"/>
      <c r="D4" s="100"/>
      <c r="E4" s="100"/>
      <c r="F4" s="100"/>
      <c r="G4" s="100"/>
      <c r="H4" s="100"/>
      <c r="I4" s="100"/>
      <c r="J4" s="100"/>
    </row>
    <row r="5" spans="1:14" s="1" customFormat="1" ht="16.5">
      <c r="A5" s="99" t="s">
        <v>3</v>
      </c>
      <c r="B5" s="99"/>
      <c r="C5" s="99"/>
      <c r="D5" s="99"/>
      <c r="E5" s="99"/>
      <c r="F5" s="99"/>
      <c r="G5" s="99"/>
      <c r="H5" s="99"/>
      <c r="I5" s="99"/>
      <c r="J5" s="99"/>
    </row>
    <row r="6" spans="1:14" s="1" customFormat="1" ht="16.5" customHeight="1" thickBot="1">
      <c r="A6" s="101"/>
      <c r="B6" s="101"/>
      <c r="C6" s="101"/>
      <c r="D6" s="101"/>
      <c r="E6" s="101"/>
      <c r="F6" s="101"/>
      <c r="G6" s="101"/>
      <c r="H6" s="101"/>
      <c r="I6" s="101"/>
      <c r="J6" s="101"/>
      <c r="N6" s="1" t="s">
        <v>147</v>
      </c>
    </row>
    <row r="7" spans="1:14" s="1" customFormat="1" ht="17.25" thickTop="1">
      <c r="A7" s="97" t="s">
        <v>4</v>
      </c>
      <c r="B7" s="97"/>
      <c r="C7" s="97"/>
      <c r="D7" s="97"/>
      <c r="E7" s="97"/>
      <c r="F7" s="97"/>
      <c r="G7" s="97"/>
      <c r="H7" s="97"/>
      <c r="I7" s="97"/>
      <c r="J7" s="97"/>
    </row>
    <row r="8" spans="1:14" s="1" customFormat="1" ht="16.899999999999999" customHeight="1">
      <c r="A8" s="92" t="s">
        <v>5</v>
      </c>
      <c r="B8" s="93"/>
      <c r="C8" s="93"/>
      <c r="D8" s="93"/>
      <c r="E8" s="94"/>
      <c r="F8" s="95" t="s">
        <v>6</v>
      </c>
      <c r="G8" s="95"/>
      <c r="H8" s="95"/>
      <c r="I8" s="95"/>
      <c r="J8" s="95"/>
    </row>
    <row r="9" spans="1:14" s="1" customFormat="1" ht="21.75" customHeight="1">
      <c r="A9" s="96" t="s">
        <v>7</v>
      </c>
      <c r="B9" s="96"/>
      <c r="C9" s="10" t="s">
        <v>8</v>
      </c>
      <c r="D9" s="11" t="s">
        <v>9</v>
      </c>
      <c r="E9" s="11" t="s">
        <v>10</v>
      </c>
      <c r="F9" s="96" t="s">
        <v>7</v>
      </c>
      <c r="G9" s="96"/>
      <c r="H9" s="10" t="s">
        <v>8</v>
      </c>
      <c r="I9" s="11" t="s">
        <v>9</v>
      </c>
      <c r="J9" s="11" t="s">
        <v>10</v>
      </c>
    </row>
    <row r="10" spans="1:14" s="1" customFormat="1" ht="15" customHeight="1">
      <c r="A10" s="12" t="s">
        <v>11</v>
      </c>
      <c r="B10" s="13">
        <v>1</v>
      </c>
      <c r="C10" s="14" t="s">
        <v>137</v>
      </c>
      <c r="D10" s="13" t="s">
        <v>138</v>
      </c>
      <c r="E10" s="13"/>
      <c r="F10" s="12" t="s">
        <v>11</v>
      </c>
      <c r="G10" s="13">
        <v>2</v>
      </c>
      <c r="H10" s="15" t="s">
        <v>139</v>
      </c>
      <c r="I10" s="13" t="s">
        <v>138</v>
      </c>
      <c r="J10" s="29" t="s">
        <v>15</v>
      </c>
    </row>
    <row r="11" spans="1:14" s="1" customFormat="1" ht="16.5">
      <c r="A11" s="16" t="s">
        <v>16</v>
      </c>
      <c r="B11" s="17">
        <v>1</v>
      </c>
      <c r="C11" s="18" t="s">
        <v>17</v>
      </c>
      <c r="D11" s="13">
        <v>3</v>
      </c>
      <c r="E11" s="13"/>
      <c r="F11" s="16" t="s">
        <v>16</v>
      </c>
      <c r="G11" s="17">
        <v>3</v>
      </c>
      <c r="H11" s="18" t="s">
        <v>18</v>
      </c>
      <c r="I11" s="13">
        <v>3</v>
      </c>
      <c r="J11" s="13"/>
    </row>
    <row r="12" spans="1:14" s="1" customFormat="1" ht="16.5">
      <c r="A12" s="16" t="s">
        <v>16</v>
      </c>
      <c r="B12" s="17">
        <v>2</v>
      </c>
      <c r="C12" s="18" t="s">
        <v>19</v>
      </c>
      <c r="D12" s="13">
        <v>3</v>
      </c>
      <c r="E12" s="13"/>
      <c r="F12" s="16" t="s">
        <v>16</v>
      </c>
      <c r="G12" s="17">
        <v>4</v>
      </c>
      <c r="H12" s="19" t="s">
        <v>20</v>
      </c>
      <c r="I12" s="13">
        <v>3</v>
      </c>
      <c r="J12" s="13"/>
    </row>
    <row r="13" spans="1:14" s="1" customFormat="1" ht="16.5">
      <c r="A13" s="16" t="s">
        <v>16</v>
      </c>
      <c r="B13" s="17">
        <v>5</v>
      </c>
      <c r="C13" s="18" t="s">
        <v>21</v>
      </c>
      <c r="D13" s="13">
        <v>3</v>
      </c>
      <c r="E13" s="13"/>
      <c r="F13" s="17" t="s">
        <v>22</v>
      </c>
      <c r="G13" s="17">
        <v>2</v>
      </c>
      <c r="H13" s="18" t="s">
        <v>23</v>
      </c>
      <c r="I13" s="17">
        <v>3</v>
      </c>
      <c r="J13" s="18"/>
    </row>
    <row r="14" spans="1:14" s="1" customFormat="1" ht="25.5">
      <c r="A14" s="12" t="s">
        <v>16</v>
      </c>
      <c r="B14" s="13">
        <v>8</v>
      </c>
      <c r="C14" s="14" t="s">
        <v>47</v>
      </c>
      <c r="D14" s="13">
        <v>3</v>
      </c>
      <c r="E14" s="13"/>
      <c r="F14" s="16" t="s">
        <v>25</v>
      </c>
      <c r="G14" s="17">
        <v>3</v>
      </c>
      <c r="H14" s="15" t="s">
        <v>26</v>
      </c>
      <c r="I14" s="13">
        <v>3</v>
      </c>
      <c r="J14" s="29" t="s">
        <v>27</v>
      </c>
    </row>
    <row r="15" spans="1:14" s="1" customFormat="1" ht="16.5">
      <c r="A15" s="12" t="s">
        <v>22</v>
      </c>
      <c r="B15" s="13">
        <v>1</v>
      </c>
      <c r="C15" s="14" t="s">
        <v>24</v>
      </c>
      <c r="D15" s="13">
        <v>3</v>
      </c>
      <c r="E15" s="13"/>
      <c r="F15" s="12" t="s">
        <v>25</v>
      </c>
      <c r="G15" s="13">
        <v>4</v>
      </c>
      <c r="H15" s="20" t="s">
        <v>29</v>
      </c>
      <c r="I15" s="13">
        <v>3</v>
      </c>
      <c r="J15" s="29" t="s">
        <v>30</v>
      </c>
    </row>
    <row r="16" spans="1:14" s="1" customFormat="1" ht="16.5">
      <c r="A16" s="16" t="s">
        <v>25</v>
      </c>
      <c r="B16" s="17">
        <v>1</v>
      </c>
      <c r="C16" s="20" t="s">
        <v>28</v>
      </c>
      <c r="D16" s="13">
        <v>3</v>
      </c>
      <c r="E16" s="13"/>
      <c r="F16" s="16" t="s">
        <v>33</v>
      </c>
      <c r="G16" s="17">
        <v>1</v>
      </c>
      <c r="H16" s="19" t="s">
        <v>34</v>
      </c>
      <c r="I16" s="17">
        <v>3</v>
      </c>
      <c r="J16" s="43"/>
    </row>
    <row r="17" spans="1:10" s="1" customFormat="1" ht="33">
      <c r="A17" s="16" t="s">
        <v>31</v>
      </c>
      <c r="B17" s="17">
        <v>2</v>
      </c>
      <c r="C17" s="18" t="s">
        <v>32</v>
      </c>
      <c r="D17" s="13">
        <v>3</v>
      </c>
      <c r="E17" s="13"/>
      <c r="F17" s="12" t="s">
        <v>35</v>
      </c>
      <c r="G17" s="13">
        <v>2</v>
      </c>
      <c r="H17" s="15" t="s">
        <v>37</v>
      </c>
      <c r="I17" s="13">
        <v>2</v>
      </c>
      <c r="J17" s="29" t="s">
        <v>38</v>
      </c>
    </row>
    <row r="18" spans="1:10" s="1" customFormat="1" ht="31.5" customHeight="1">
      <c r="A18" s="12" t="s">
        <v>35</v>
      </c>
      <c r="B18" s="13">
        <v>1</v>
      </c>
      <c r="C18" s="21" t="s">
        <v>36</v>
      </c>
      <c r="D18" s="13">
        <v>2</v>
      </c>
      <c r="E18" s="13"/>
      <c r="F18" s="12" t="s">
        <v>39</v>
      </c>
      <c r="G18" s="13">
        <v>2</v>
      </c>
      <c r="H18" s="14" t="s">
        <v>41</v>
      </c>
      <c r="I18" s="13">
        <v>3</v>
      </c>
      <c r="J18" s="29" t="s">
        <v>42</v>
      </c>
    </row>
    <row r="19" spans="1:10" s="1" customFormat="1" ht="30.75" customHeight="1">
      <c r="A19" s="12" t="s">
        <v>39</v>
      </c>
      <c r="B19" s="13">
        <v>1</v>
      </c>
      <c r="C19" s="14" t="s">
        <v>40</v>
      </c>
      <c r="D19" s="13">
        <v>3</v>
      </c>
      <c r="E19" s="13"/>
      <c r="F19" s="12"/>
      <c r="G19" s="13"/>
      <c r="H19" s="22" t="s">
        <v>43</v>
      </c>
      <c r="I19" s="9">
        <f>SUM(I10:I18)</f>
        <v>23</v>
      </c>
      <c r="J19" s="13"/>
    </row>
    <row r="20" spans="1:10" s="1" customFormat="1" ht="18.75" customHeight="1">
      <c r="A20" s="12"/>
      <c r="B20" s="13"/>
      <c r="C20" s="22" t="s">
        <v>43</v>
      </c>
      <c r="D20" s="9">
        <f>SUM(D9:D19)</f>
        <v>26</v>
      </c>
      <c r="E20" s="13"/>
      <c r="F20" s="12"/>
      <c r="G20" s="13"/>
      <c r="H20" s="22"/>
      <c r="I20" s="9"/>
      <c r="J20" s="13"/>
    </row>
    <row r="21" spans="1:10" s="1" customFormat="1" ht="17.25" thickBot="1">
      <c r="A21" s="23"/>
      <c r="B21" s="24"/>
      <c r="C21" s="25"/>
      <c r="D21" s="26"/>
      <c r="E21" s="24"/>
      <c r="F21" s="23"/>
      <c r="G21" s="24"/>
      <c r="H21" s="25"/>
      <c r="I21" s="26"/>
      <c r="J21" s="24"/>
    </row>
    <row r="22" spans="1:10" s="1" customFormat="1" ht="15" customHeight="1" thickTop="1">
      <c r="A22" s="91" t="s">
        <v>44</v>
      </c>
      <c r="B22" s="91"/>
      <c r="C22" s="91"/>
      <c r="D22" s="91"/>
      <c r="E22" s="91"/>
      <c r="F22" s="91"/>
      <c r="G22" s="91"/>
      <c r="H22" s="91"/>
      <c r="I22" s="91"/>
      <c r="J22" s="91"/>
    </row>
    <row r="23" spans="1:10" s="1" customFormat="1" ht="16.899999999999999" customHeight="1">
      <c r="A23" s="92" t="s">
        <v>5</v>
      </c>
      <c r="B23" s="93"/>
      <c r="C23" s="93"/>
      <c r="D23" s="93"/>
      <c r="E23" s="94"/>
      <c r="F23" s="95" t="s">
        <v>6</v>
      </c>
      <c r="G23" s="95"/>
      <c r="H23" s="95"/>
      <c r="I23" s="95"/>
      <c r="J23" s="95"/>
    </row>
    <row r="24" spans="1:10" s="1" customFormat="1" ht="21.75" customHeight="1">
      <c r="A24" s="96" t="s">
        <v>7</v>
      </c>
      <c r="B24" s="96"/>
      <c r="C24" s="10" t="s">
        <v>8</v>
      </c>
      <c r="D24" s="11" t="s">
        <v>9</v>
      </c>
      <c r="E24" s="11" t="s">
        <v>10</v>
      </c>
      <c r="F24" s="96" t="s">
        <v>7</v>
      </c>
      <c r="G24" s="96"/>
      <c r="H24" s="10" t="s">
        <v>8</v>
      </c>
      <c r="I24" s="11" t="s">
        <v>9</v>
      </c>
      <c r="J24" s="11" t="s">
        <v>10</v>
      </c>
    </row>
    <row r="25" spans="1:10" s="1" customFormat="1" ht="15.75" customHeight="1">
      <c r="A25" s="27" t="s">
        <v>11</v>
      </c>
      <c r="B25" s="28">
        <v>3</v>
      </c>
      <c r="C25" s="27" t="s">
        <v>140</v>
      </c>
      <c r="D25" s="13" t="s">
        <v>138</v>
      </c>
      <c r="E25" s="29" t="s">
        <v>15</v>
      </c>
      <c r="F25" s="28" t="s">
        <v>11</v>
      </c>
      <c r="G25" s="28">
        <v>4</v>
      </c>
      <c r="H25" s="27" t="s">
        <v>141</v>
      </c>
      <c r="I25" s="13" t="s">
        <v>138</v>
      </c>
      <c r="J25" s="29" t="s">
        <v>15</v>
      </c>
    </row>
    <row r="26" spans="1:10" s="1" customFormat="1" ht="14.25" customHeight="1">
      <c r="A26" s="16" t="s">
        <v>16</v>
      </c>
      <c r="B26" s="13">
        <v>7</v>
      </c>
      <c r="C26" s="14" t="s">
        <v>45</v>
      </c>
      <c r="D26" s="13">
        <v>3</v>
      </c>
      <c r="E26" s="29"/>
      <c r="F26" s="12" t="s">
        <v>16</v>
      </c>
      <c r="G26" s="13">
        <v>9</v>
      </c>
      <c r="H26" s="18" t="s">
        <v>48</v>
      </c>
      <c r="I26" s="13">
        <v>3</v>
      </c>
      <c r="J26" s="13"/>
    </row>
    <row r="27" spans="1:10" s="1" customFormat="1" ht="13.5" customHeight="1">
      <c r="A27" s="12" t="s">
        <v>16</v>
      </c>
      <c r="B27" s="13">
        <v>10</v>
      </c>
      <c r="C27" s="14" t="s">
        <v>49</v>
      </c>
      <c r="D27" s="13">
        <v>3</v>
      </c>
      <c r="E27" s="13"/>
      <c r="F27" s="16" t="s">
        <v>16</v>
      </c>
      <c r="G27" s="17">
        <v>6</v>
      </c>
      <c r="H27" s="14" t="s">
        <v>50</v>
      </c>
      <c r="I27" s="13">
        <v>3</v>
      </c>
      <c r="J27" s="18"/>
    </row>
    <row r="28" spans="1:10" s="1" customFormat="1" ht="13.5" customHeight="1">
      <c r="A28" s="16" t="s">
        <v>16</v>
      </c>
      <c r="B28" s="12">
        <v>11</v>
      </c>
      <c r="C28" s="14" t="s">
        <v>51</v>
      </c>
      <c r="D28" s="13">
        <v>3</v>
      </c>
      <c r="E28" s="18"/>
      <c r="F28" s="12" t="s">
        <v>16</v>
      </c>
      <c r="G28" s="12">
        <v>12</v>
      </c>
      <c r="H28" s="14" t="s">
        <v>52</v>
      </c>
      <c r="I28" s="13">
        <v>3</v>
      </c>
      <c r="J28" s="13"/>
    </row>
    <row r="29" spans="1:10" s="1" customFormat="1" ht="15" customHeight="1">
      <c r="A29" s="16" t="s">
        <v>53</v>
      </c>
      <c r="B29" s="13">
        <v>1</v>
      </c>
      <c r="C29" s="21" t="s">
        <v>54</v>
      </c>
      <c r="D29" s="13">
        <v>3</v>
      </c>
      <c r="E29" s="13"/>
      <c r="F29" s="12" t="s">
        <v>53</v>
      </c>
      <c r="G29" s="13">
        <v>2</v>
      </c>
      <c r="H29" s="14" t="s">
        <v>55</v>
      </c>
      <c r="I29" s="13">
        <v>3</v>
      </c>
      <c r="J29" s="18"/>
    </row>
    <row r="30" spans="1:10" s="1" customFormat="1" ht="15" customHeight="1">
      <c r="A30" s="16" t="s">
        <v>56</v>
      </c>
      <c r="B30" s="17">
        <v>2</v>
      </c>
      <c r="C30" s="18" t="s">
        <v>57</v>
      </c>
      <c r="D30" s="17">
        <v>3</v>
      </c>
      <c r="E30" s="29" t="s">
        <v>58</v>
      </c>
      <c r="F30" s="12" t="s">
        <v>31</v>
      </c>
      <c r="G30" s="13">
        <v>6</v>
      </c>
      <c r="H30" s="15" t="s">
        <v>59</v>
      </c>
      <c r="I30" s="36">
        <v>3</v>
      </c>
      <c r="J30" s="56" t="s">
        <v>60</v>
      </c>
    </row>
    <row r="31" spans="1:10" s="1" customFormat="1" ht="15" customHeight="1">
      <c r="A31" s="12" t="s">
        <v>25</v>
      </c>
      <c r="B31" s="30">
        <v>5</v>
      </c>
      <c r="C31" s="31" t="s">
        <v>61</v>
      </c>
      <c r="D31" s="30">
        <v>3</v>
      </c>
      <c r="E31" s="32" t="s">
        <v>62</v>
      </c>
      <c r="F31" s="16" t="s">
        <v>56</v>
      </c>
      <c r="G31" s="17">
        <v>3</v>
      </c>
      <c r="H31" s="18" t="s">
        <v>63</v>
      </c>
      <c r="I31" s="17">
        <v>3</v>
      </c>
      <c r="J31" s="43" t="s">
        <v>64</v>
      </c>
    </row>
    <row r="32" spans="1:10" s="1" customFormat="1" ht="25.5">
      <c r="A32" s="16" t="s">
        <v>65</v>
      </c>
      <c r="B32" s="17">
        <v>1</v>
      </c>
      <c r="C32" s="18" t="s">
        <v>66</v>
      </c>
      <c r="D32" s="17">
        <v>3</v>
      </c>
      <c r="E32" s="32" t="s">
        <v>62</v>
      </c>
      <c r="F32" s="16" t="s">
        <v>33</v>
      </c>
      <c r="G32" s="17">
        <v>4</v>
      </c>
      <c r="H32" s="33" t="s">
        <v>67</v>
      </c>
      <c r="I32" s="13">
        <v>3</v>
      </c>
      <c r="J32" s="43" t="s">
        <v>68</v>
      </c>
    </row>
    <row r="33" spans="1:10" s="1" customFormat="1" ht="26.25" customHeight="1">
      <c r="A33" s="12" t="s">
        <v>35</v>
      </c>
      <c r="B33" s="13">
        <v>3</v>
      </c>
      <c r="C33" s="21" t="s">
        <v>69</v>
      </c>
      <c r="D33" s="13">
        <v>2</v>
      </c>
      <c r="E33" s="34" t="s">
        <v>70</v>
      </c>
      <c r="F33" s="12" t="s">
        <v>35</v>
      </c>
      <c r="G33" s="13">
        <v>4</v>
      </c>
      <c r="H33" s="21" t="s">
        <v>71</v>
      </c>
      <c r="I33" s="36">
        <v>2</v>
      </c>
      <c r="J33" s="34" t="s">
        <v>70</v>
      </c>
    </row>
    <row r="34" spans="1:10" s="1" customFormat="1" ht="18" customHeight="1">
      <c r="A34" s="35"/>
      <c r="B34" s="36"/>
      <c r="C34" s="22" t="s">
        <v>43</v>
      </c>
      <c r="D34" s="9">
        <f>SUM(D24:D33)</f>
        <v>23</v>
      </c>
      <c r="E34" s="13"/>
      <c r="F34" s="16"/>
      <c r="G34" s="18"/>
      <c r="H34" s="22" t="s">
        <v>43</v>
      </c>
      <c r="I34" s="47">
        <f>SUM(I26:I33)</f>
        <v>23</v>
      </c>
      <c r="J34" s="17"/>
    </row>
    <row r="35" spans="1:10" s="1" customFormat="1" ht="17.25" thickBot="1">
      <c r="A35" s="4"/>
      <c r="B35" s="5"/>
      <c r="C35" s="25"/>
      <c r="D35" s="26"/>
      <c r="E35" s="24"/>
      <c r="F35" s="37"/>
      <c r="H35" s="25"/>
      <c r="I35" s="8"/>
      <c r="J35" s="7"/>
    </row>
    <row r="36" spans="1:10" s="1" customFormat="1" ht="17.25" thickTop="1">
      <c r="A36" s="91" t="s">
        <v>72</v>
      </c>
      <c r="B36" s="91"/>
      <c r="C36" s="91"/>
      <c r="D36" s="91"/>
      <c r="E36" s="91"/>
      <c r="F36" s="91"/>
      <c r="G36" s="91"/>
      <c r="H36" s="91"/>
      <c r="I36" s="91"/>
      <c r="J36" s="91"/>
    </row>
    <row r="37" spans="1:10" s="1" customFormat="1" ht="16.899999999999999" customHeight="1">
      <c r="A37" s="92" t="s">
        <v>5</v>
      </c>
      <c r="B37" s="93"/>
      <c r="C37" s="93"/>
      <c r="D37" s="93"/>
      <c r="E37" s="94"/>
      <c r="F37" s="95" t="s">
        <v>6</v>
      </c>
      <c r="G37" s="95"/>
      <c r="H37" s="95"/>
      <c r="I37" s="95"/>
      <c r="J37" s="95"/>
    </row>
    <row r="38" spans="1:10" s="1" customFormat="1" ht="21.75" customHeight="1">
      <c r="A38" s="96" t="s">
        <v>7</v>
      </c>
      <c r="B38" s="96"/>
      <c r="C38" s="10" t="s">
        <v>8</v>
      </c>
      <c r="D38" s="11" t="s">
        <v>9</v>
      </c>
      <c r="E38" s="11" t="s">
        <v>10</v>
      </c>
      <c r="F38" s="96" t="s">
        <v>7</v>
      </c>
      <c r="G38" s="96"/>
      <c r="H38" s="10" t="s">
        <v>8</v>
      </c>
      <c r="I38" s="11" t="s">
        <v>9</v>
      </c>
      <c r="J38" s="11" t="s">
        <v>10</v>
      </c>
    </row>
    <row r="39" spans="1:10" s="1" customFormat="1" ht="27" customHeight="1">
      <c r="A39" s="12" t="s">
        <v>11</v>
      </c>
      <c r="B39" s="13">
        <v>5</v>
      </c>
      <c r="C39" s="14" t="s">
        <v>142</v>
      </c>
      <c r="D39" s="13" t="s">
        <v>138</v>
      </c>
      <c r="E39" s="29" t="s">
        <v>15</v>
      </c>
      <c r="F39" s="28" t="s">
        <v>11</v>
      </c>
      <c r="G39" s="28">
        <v>6</v>
      </c>
      <c r="H39" s="27" t="s">
        <v>143</v>
      </c>
      <c r="I39" s="13" t="s">
        <v>138</v>
      </c>
      <c r="J39" s="29" t="s">
        <v>15</v>
      </c>
    </row>
    <row r="40" spans="1:10" s="1" customFormat="1" ht="16.5">
      <c r="A40" s="16" t="s">
        <v>33</v>
      </c>
      <c r="B40" s="17">
        <v>5</v>
      </c>
      <c r="C40" s="18" t="s">
        <v>75</v>
      </c>
      <c r="D40" s="17">
        <v>3</v>
      </c>
      <c r="E40" s="29" t="s">
        <v>68</v>
      </c>
      <c r="F40" s="12" t="s">
        <v>25</v>
      </c>
      <c r="G40" s="13">
        <v>8</v>
      </c>
      <c r="H40" s="15" t="s">
        <v>74</v>
      </c>
      <c r="I40" s="17">
        <v>3</v>
      </c>
      <c r="J40" s="29" t="s">
        <v>68</v>
      </c>
    </row>
    <row r="41" spans="1:10" s="1" customFormat="1" ht="16.5">
      <c r="A41" s="38" t="s">
        <v>33</v>
      </c>
      <c r="B41" s="30">
        <v>6</v>
      </c>
      <c r="C41" s="39" t="s">
        <v>78</v>
      </c>
      <c r="D41" s="40">
        <v>3</v>
      </c>
      <c r="E41" s="41" t="s">
        <v>79</v>
      </c>
      <c r="F41" s="17" t="s">
        <v>65</v>
      </c>
      <c r="G41" s="17">
        <v>3</v>
      </c>
      <c r="H41" s="42" t="s">
        <v>76</v>
      </c>
      <c r="I41" s="17">
        <v>3</v>
      </c>
      <c r="J41" s="43" t="s">
        <v>77</v>
      </c>
    </row>
    <row r="42" spans="1:10" s="2" customFormat="1" ht="26.25" customHeight="1">
      <c r="A42" s="16" t="s">
        <v>33</v>
      </c>
      <c r="B42" s="17">
        <v>7</v>
      </c>
      <c r="C42" s="19" t="s">
        <v>82</v>
      </c>
      <c r="D42" s="17">
        <v>3</v>
      </c>
      <c r="E42" s="43" t="s">
        <v>83</v>
      </c>
      <c r="F42" s="16" t="s">
        <v>33</v>
      </c>
      <c r="G42" s="17">
        <v>9</v>
      </c>
      <c r="H42" s="18" t="s">
        <v>80</v>
      </c>
      <c r="I42" s="17">
        <v>3</v>
      </c>
      <c r="J42" s="45" t="s">
        <v>81</v>
      </c>
    </row>
    <row r="43" spans="1:10" s="1" customFormat="1" ht="16.5">
      <c r="A43" s="16" t="s">
        <v>56</v>
      </c>
      <c r="B43" s="17">
        <v>8</v>
      </c>
      <c r="C43" s="18" t="s">
        <v>86</v>
      </c>
      <c r="D43" s="36">
        <v>3</v>
      </c>
      <c r="E43" s="43" t="s">
        <v>83</v>
      </c>
      <c r="F43" s="16" t="s">
        <v>25</v>
      </c>
      <c r="G43" s="17">
        <v>9</v>
      </c>
      <c r="H43" s="44" t="s">
        <v>84</v>
      </c>
      <c r="I43" s="13">
        <v>3</v>
      </c>
      <c r="J43" s="57" t="s">
        <v>85</v>
      </c>
    </row>
    <row r="44" spans="1:10" s="1" customFormat="1" ht="16.5">
      <c r="A44" s="16" t="s">
        <v>65</v>
      </c>
      <c r="B44" s="17">
        <v>2</v>
      </c>
      <c r="C44" s="18" t="s">
        <v>89</v>
      </c>
      <c r="D44" s="17">
        <v>3</v>
      </c>
      <c r="E44" s="45"/>
      <c r="F44" s="16" t="s">
        <v>25</v>
      </c>
      <c r="G44" s="17">
        <v>10</v>
      </c>
      <c r="H44" s="20" t="s">
        <v>87</v>
      </c>
      <c r="I44" s="13">
        <v>3</v>
      </c>
      <c r="J44" s="57" t="s">
        <v>88</v>
      </c>
    </row>
    <row r="45" spans="1:10" s="1" customFormat="1" ht="25.5">
      <c r="A45" s="12" t="s">
        <v>25</v>
      </c>
      <c r="B45" s="17">
        <v>7</v>
      </c>
      <c r="C45" s="31" t="s">
        <v>92</v>
      </c>
      <c r="D45" s="17">
        <v>3</v>
      </c>
      <c r="E45" s="45" t="s">
        <v>93</v>
      </c>
      <c r="F45" s="16" t="s">
        <v>65</v>
      </c>
      <c r="G45" s="17">
        <v>4</v>
      </c>
      <c r="H45" s="18" t="s">
        <v>90</v>
      </c>
      <c r="I45" s="17">
        <v>3</v>
      </c>
      <c r="J45" s="45" t="s">
        <v>91</v>
      </c>
    </row>
    <row r="46" spans="1:10" s="1" customFormat="1" ht="16.5">
      <c r="A46" s="16"/>
      <c r="B46" s="17"/>
      <c r="C46" s="46" t="s">
        <v>43</v>
      </c>
      <c r="D46" s="47">
        <f>SUM(D40:D45)</f>
        <v>18</v>
      </c>
      <c r="E46" s="17"/>
      <c r="F46" s="16" t="s">
        <v>65</v>
      </c>
      <c r="G46" s="17">
        <v>5</v>
      </c>
      <c r="H46" s="48" t="s">
        <v>94</v>
      </c>
      <c r="I46" s="17">
        <v>3</v>
      </c>
      <c r="J46" s="45" t="s">
        <v>95</v>
      </c>
    </row>
    <row r="47" spans="1:10" s="1" customFormat="1" ht="16.5">
      <c r="A47" s="18"/>
      <c r="B47" s="18"/>
      <c r="C47" s="18"/>
      <c r="D47" s="18"/>
      <c r="E47" s="18"/>
      <c r="F47" s="16"/>
      <c r="G47" s="17"/>
      <c r="H47" s="46" t="s">
        <v>43</v>
      </c>
      <c r="I47" s="47">
        <f>SUM(I40:I46)</f>
        <v>21</v>
      </c>
      <c r="J47" s="17"/>
    </row>
    <row r="48" spans="1:10" s="1" customFormat="1" ht="17.25" thickBot="1">
      <c r="A48" s="37"/>
      <c r="B48" s="7"/>
      <c r="C48" s="49"/>
      <c r="D48" s="8"/>
      <c r="E48" s="7"/>
      <c r="F48" s="37"/>
      <c r="G48" s="7"/>
      <c r="H48" s="49"/>
      <c r="I48" s="8"/>
      <c r="J48" s="7"/>
    </row>
    <row r="49" spans="1:10" s="1" customFormat="1" ht="17.25" thickTop="1">
      <c r="A49" s="91" t="s">
        <v>96</v>
      </c>
      <c r="B49" s="91"/>
      <c r="C49" s="91"/>
      <c r="D49" s="91"/>
      <c r="E49" s="91"/>
      <c r="F49" s="91"/>
      <c r="G49" s="91"/>
      <c r="H49" s="91"/>
      <c r="I49" s="91"/>
      <c r="J49" s="91"/>
    </row>
    <row r="50" spans="1:10" s="1" customFormat="1" ht="16.899999999999999" customHeight="1">
      <c r="A50" s="92" t="s">
        <v>5</v>
      </c>
      <c r="B50" s="93"/>
      <c r="C50" s="93"/>
      <c r="D50" s="93"/>
      <c r="E50" s="94"/>
      <c r="F50" s="95" t="s">
        <v>6</v>
      </c>
      <c r="G50" s="95"/>
      <c r="H50" s="95"/>
      <c r="I50" s="95"/>
      <c r="J50" s="95"/>
    </row>
    <row r="51" spans="1:10" s="1" customFormat="1" ht="21.75" customHeight="1">
      <c r="A51" s="96" t="s">
        <v>7</v>
      </c>
      <c r="B51" s="96"/>
      <c r="C51" s="10" t="s">
        <v>8</v>
      </c>
      <c r="D51" s="11" t="s">
        <v>9</v>
      </c>
      <c r="E51" s="11" t="s">
        <v>10</v>
      </c>
      <c r="F51" s="96" t="s">
        <v>7</v>
      </c>
      <c r="G51" s="96"/>
      <c r="H51" s="10" t="s">
        <v>8</v>
      </c>
      <c r="I51" s="11" t="s">
        <v>9</v>
      </c>
      <c r="J51" s="11" t="s">
        <v>10</v>
      </c>
    </row>
    <row r="52" spans="1:10" s="1" customFormat="1" ht="16.5">
      <c r="A52" s="12" t="s">
        <v>33</v>
      </c>
      <c r="B52" s="13">
        <v>10</v>
      </c>
      <c r="C52" s="19" t="s">
        <v>97</v>
      </c>
      <c r="D52" s="50">
        <v>3</v>
      </c>
      <c r="E52" s="13"/>
      <c r="F52" s="28" t="s">
        <v>98</v>
      </c>
      <c r="G52" s="51">
        <v>2</v>
      </c>
      <c r="H52" s="19" t="s">
        <v>99</v>
      </c>
      <c r="I52" s="50">
        <v>3</v>
      </c>
      <c r="J52" s="17"/>
    </row>
    <row r="53" spans="1:10" s="1" customFormat="1" ht="16.5">
      <c r="A53" s="28" t="s">
        <v>98</v>
      </c>
      <c r="B53" s="51">
        <v>1</v>
      </c>
      <c r="C53" s="19" t="s">
        <v>99</v>
      </c>
      <c r="D53" s="50">
        <v>3</v>
      </c>
      <c r="E53" s="13"/>
      <c r="F53" s="12"/>
      <c r="G53" s="17"/>
      <c r="H53" s="19"/>
      <c r="I53" s="50"/>
      <c r="J53" s="13"/>
    </row>
    <row r="54" spans="1:10" s="1" customFormat="1" ht="16.5">
      <c r="A54" s="12"/>
      <c r="B54" s="13"/>
      <c r="C54" s="22" t="s">
        <v>43</v>
      </c>
      <c r="D54" s="52">
        <f>SUM(D52:D53)</f>
        <v>6</v>
      </c>
      <c r="E54" s="13"/>
      <c r="F54" s="16"/>
      <c r="G54" s="18"/>
      <c r="H54" s="22" t="s">
        <v>43</v>
      </c>
      <c r="I54" s="52">
        <f>SUM(I52:I53)</f>
        <v>3</v>
      </c>
      <c r="J54" s="58"/>
    </row>
    <row r="55" spans="1:10" ht="16.5">
      <c r="A55" s="37"/>
      <c r="B55" s="7"/>
      <c r="C55" s="53"/>
      <c r="D55" s="7"/>
      <c r="E55" s="7"/>
    </row>
  </sheetData>
  <mergeCells count="25">
    <mergeCell ref="A49:J49"/>
    <mergeCell ref="A50:E50"/>
    <mergeCell ref="F50:J50"/>
    <mergeCell ref="A51:B51"/>
    <mergeCell ref="F51:G51"/>
    <mergeCell ref="A38:B38"/>
    <mergeCell ref="F38:G38"/>
    <mergeCell ref="A8:E8"/>
    <mergeCell ref="F8:J8"/>
    <mergeCell ref="A9:B9"/>
    <mergeCell ref="F9:G9"/>
    <mergeCell ref="A22:J22"/>
    <mergeCell ref="A23:E23"/>
    <mergeCell ref="F23:J23"/>
    <mergeCell ref="A24:B24"/>
    <mergeCell ref="F24:G24"/>
    <mergeCell ref="A36:J36"/>
    <mergeCell ref="A37:E37"/>
    <mergeCell ref="F37:J37"/>
    <mergeCell ref="A7:J7"/>
    <mergeCell ref="A1:J1"/>
    <mergeCell ref="A2:J2"/>
    <mergeCell ref="A4:J4"/>
    <mergeCell ref="A5:J5"/>
    <mergeCell ref="A6:J6"/>
  </mergeCells>
  <pageMargins left="0.34" right="0.13" top="0.3" bottom="0.12" header="0.3" footer="0.24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Final 10-31</vt:lpstr>
      <vt:lpstr>Final 10-31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CBA</dc:creator>
  <cp:lastModifiedBy>DEAN SECRETARY</cp:lastModifiedBy>
  <cp:lastPrinted>2026-07-31T09:32:13Z</cp:lastPrinted>
  <dcterms:created xsi:type="dcterms:W3CDTF">2025-07-14T05:02:00Z</dcterms:created>
  <dcterms:modified xsi:type="dcterms:W3CDTF">2026-08-04T09:20:14Z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4D8ADB77876E449E91F4AF74F46592D5_12</vt:lpwstr>
  </property>
  <property fmtid="{D5CDD505-2E9C-101B-9397-08002B2CF9AE}" pid="3" name="KSOProductBuildVer">
    <vt:lpwstr>1033-12.2.0.23196</vt:lpwstr>
  </property>
</Properties>
</file>