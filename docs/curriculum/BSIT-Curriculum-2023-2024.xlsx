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N SECRETARY\Desktop\CMAT FILES\CMAT EVALUATION FORM\"/>
    </mc:Choice>
  </mc:AlternateContent>
  <xr:revisionPtr revIDLastSave="0" documentId="13_ncr:1_{92A8958A-540F-401D-974D-C75E4D4D0668}" xr6:coauthVersionLast="47" xr6:coauthVersionMax="47" xr10:uidLastSave="{00000000-0000-0000-0000-000000000000}"/>
  <bookViews>
    <workbookView xWindow="-120" yWindow="-120" windowWidth="20640" windowHeight="11040" firstSheet="2" activeTab="5" xr2:uid="{B55A7497-A76A-49A4-920C-EC2AA606B06D}"/>
  </bookViews>
  <sheets>
    <sheet name="Sheet1" sheetId="1" r:id="rId1"/>
    <sheet name="Sheet2" sheetId="2" r:id="rId2"/>
    <sheet name="Sheet2 (2)" sheetId="3" r:id="rId3"/>
    <sheet name="Sheet1 (2)" sheetId="4" r:id="rId4"/>
    <sheet name="Subject Groupings" sheetId="7" r:id="rId5"/>
    <sheet name="final" sheetId="6" r:id="rId6"/>
  </sheets>
  <definedNames>
    <definedName name="_xlnm.Print_Titles" localSheetId="5">final!$1:$4</definedName>
    <definedName name="_xlnm.Print_Titles" localSheetId="3">'Sheet1 (2)'!$1:$6</definedName>
    <definedName name="_xlnm.Print_Titles" localSheetId="4">'Subject Groupings'!$1:$6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0" i="7" l="1"/>
  <c r="G76" i="7"/>
  <c r="G70" i="7"/>
  <c r="G62" i="7"/>
  <c r="G55" i="7"/>
  <c r="G32" i="7"/>
  <c r="G24" i="7"/>
  <c r="G8" i="7"/>
  <c r="G62" i="4"/>
  <c r="G55" i="4"/>
  <c r="F88" i="7" l="1"/>
  <c r="F73" i="6"/>
  <c r="F107" i="6"/>
  <c r="F98" i="6"/>
  <c r="F86" i="6"/>
  <c r="F66" i="6"/>
  <c r="F53" i="6"/>
  <c r="F32" i="6"/>
  <c r="F18" i="6"/>
  <c r="D38" i="3"/>
  <c r="D22" i="3"/>
  <c r="G8" i="4"/>
  <c r="G34" i="4"/>
  <c r="G80" i="4"/>
  <c r="G76" i="4"/>
  <c r="G70" i="4"/>
  <c r="G26" i="4"/>
  <c r="D54" i="3"/>
  <c r="I48" i="3"/>
  <c r="D48" i="3"/>
  <c r="I34" i="3"/>
  <c r="D34" i="3"/>
  <c r="D17" i="3"/>
  <c r="I16" i="3"/>
  <c r="D52" i="2"/>
  <c r="D57" i="2"/>
  <c r="F88" i="4" l="1"/>
  <c r="D48" i="2"/>
  <c r="I33" i="2"/>
  <c r="D33" i="2"/>
  <c r="G183" i="1"/>
  <c r="G179" i="1"/>
  <c r="G173" i="1"/>
  <c r="G167" i="1"/>
  <c r="G139" i="1"/>
  <c r="G120" i="1"/>
  <c r="G78" i="1"/>
  <c r="G74" i="1"/>
  <c r="G68" i="1"/>
  <c r="G65" i="1"/>
  <c r="G58" i="1"/>
  <c r="G52" i="1"/>
  <c r="G35" i="1"/>
  <c r="G27" i="1"/>
  <c r="G10" i="1"/>
  <c r="I16" i="2"/>
  <c r="I48" i="2"/>
  <c r="D17" i="2"/>
  <c r="F191" i="1" l="1"/>
  <c r="F86" i="1"/>
  <c r="F40" i="6" l="1"/>
  <c r="D21" i="2"/>
</calcChain>
</file>

<file path=xl/sharedStrings.xml><?xml version="1.0" encoding="utf-8"?>
<sst xmlns="http://schemas.openxmlformats.org/spreadsheetml/2006/main" count="1362" uniqueCount="300">
  <si>
    <t>APPENDIX B</t>
  </si>
  <si>
    <t>KABANKALAN CATHOLIC COLLEGE</t>
  </si>
  <si>
    <t>BACHELOR OF SCIENCE IN INFORMATION TECHNOLOGY</t>
  </si>
  <si>
    <t>(BSIT)</t>
  </si>
  <si>
    <t>SUMMARY OF SUBJECT GROUPINGS</t>
  </si>
  <si>
    <t>GENERAL EDUCATION COURSES</t>
  </si>
  <si>
    <t>units</t>
  </si>
  <si>
    <t>GE</t>
  </si>
  <si>
    <t>Understanding the Self</t>
  </si>
  <si>
    <t>Readings in the Philippine History</t>
  </si>
  <si>
    <t>The Contemporary World</t>
  </si>
  <si>
    <t>Mathematics in the Modern World</t>
  </si>
  <si>
    <t>Purposive Communication</t>
  </si>
  <si>
    <t>Art Appreciation</t>
  </si>
  <si>
    <t>Science, Technology and Society</t>
  </si>
  <si>
    <t>Ethics</t>
  </si>
  <si>
    <t>Rizal's Life and Works</t>
  </si>
  <si>
    <t>GENERAL EDUCATION ELECTIVES</t>
  </si>
  <si>
    <t>GEB 10</t>
  </si>
  <si>
    <t>GEB 11</t>
  </si>
  <si>
    <t>Social Science and Philosophy</t>
  </si>
  <si>
    <t>GEB 12</t>
  </si>
  <si>
    <t>Arts and Humanities</t>
  </si>
  <si>
    <t xml:space="preserve">FIL </t>
  </si>
  <si>
    <t>COMMON BUSINESS COURSES</t>
  </si>
  <si>
    <t>IT</t>
  </si>
  <si>
    <t>Introduction to Computing</t>
  </si>
  <si>
    <t>Computer Programming 1</t>
  </si>
  <si>
    <t>Computer Programming 2</t>
  </si>
  <si>
    <t>Data Structures and Algorithms</t>
  </si>
  <si>
    <t>Information Management</t>
  </si>
  <si>
    <t>Application Development and Engineering Technologies</t>
  </si>
  <si>
    <t>PROFESSIONAL COURSES</t>
  </si>
  <si>
    <t>Introduction to Human Computer Interaction</t>
  </si>
  <si>
    <t>Information Assurance and Security 1</t>
  </si>
  <si>
    <t>Information Assurance and Security 2</t>
  </si>
  <si>
    <t>Fundamentals of Database Systems</t>
  </si>
  <si>
    <t>Advance Database Systems</t>
  </si>
  <si>
    <t>Integrative Programming and Technologies 1</t>
  </si>
  <si>
    <t>Discrete Mathematics</t>
  </si>
  <si>
    <t>Networking 1</t>
  </si>
  <si>
    <t>Networking 2</t>
  </si>
  <si>
    <t>Practicum</t>
  </si>
  <si>
    <t>Systems Administration and Maintenance</t>
  </si>
  <si>
    <t>Systems Integration and Architecture 1</t>
  </si>
  <si>
    <t>Social and Professional Issues</t>
  </si>
  <si>
    <t>CAP</t>
  </si>
  <si>
    <t>Capstone Project Research 1</t>
  </si>
  <si>
    <t>Capstone Project Research 2</t>
  </si>
  <si>
    <t>PROFESSIONAL ELECTIVES</t>
  </si>
  <si>
    <t>Integrative Programming Technologies 2</t>
  </si>
  <si>
    <t>Platform Technologies</t>
  </si>
  <si>
    <t>Web Systems and Technologies</t>
  </si>
  <si>
    <t>Object Oriented Programming</t>
  </si>
  <si>
    <t>FREE ELECTIVES</t>
  </si>
  <si>
    <t>ITE201</t>
  </si>
  <si>
    <t>Graphics Design</t>
  </si>
  <si>
    <t>ITE211</t>
  </si>
  <si>
    <t>Technopreneurship</t>
  </si>
  <si>
    <t>ITE212</t>
  </si>
  <si>
    <t>Operating System</t>
  </si>
  <si>
    <t>ITF310</t>
  </si>
  <si>
    <t>Free Elective 1 -SAP</t>
  </si>
  <si>
    <t>ITE311</t>
  </si>
  <si>
    <t>Web Animation Techniques</t>
  </si>
  <si>
    <t>ACCOUNTING SUBJECT</t>
  </si>
  <si>
    <t>ACCT</t>
  </si>
  <si>
    <t>Principles of Accounting</t>
  </si>
  <si>
    <t>PHYSICAL EDUCATION COURSES</t>
  </si>
  <si>
    <t>PE 1 Physical Fitness</t>
  </si>
  <si>
    <t>PE 2 Rhythmic Actvities</t>
  </si>
  <si>
    <t>PE 3 Individual &amp; Dual Sports/ Games</t>
  </si>
  <si>
    <t>PE 4 Team Sports and Games</t>
  </si>
  <si>
    <t>NATIONAL SERVICE TRAINING PROGRAM</t>
  </si>
  <si>
    <t>NSTP 1</t>
  </si>
  <si>
    <t>NSTP 2</t>
  </si>
  <si>
    <t>THEOLOGY</t>
  </si>
  <si>
    <t>Theo 1</t>
  </si>
  <si>
    <t>Revelation and Faith</t>
  </si>
  <si>
    <t>Theo 2</t>
  </si>
  <si>
    <t>Church History</t>
  </si>
  <si>
    <t>Theo 3</t>
  </si>
  <si>
    <t>Sacrament and Liturgy</t>
  </si>
  <si>
    <t>Theo 4</t>
  </si>
  <si>
    <t>Christology</t>
  </si>
  <si>
    <t>Theo 5</t>
  </si>
  <si>
    <t>Moral Theology</t>
  </si>
  <si>
    <t>Theo 6</t>
  </si>
  <si>
    <t>Social teachings of the Church and Community</t>
  </si>
  <si>
    <t>TOTAL</t>
  </si>
  <si>
    <t>BACHELOR OF SCIENCE IN BUSINESS ADMINISTRATION</t>
  </si>
  <si>
    <t>MAJOR IN MARKETING MANGEMENT</t>
  </si>
  <si>
    <t>(BSBA- MM)</t>
  </si>
  <si>
    <t>GE 1</t>
  </si>
  <si>
    <t>GE 2</t>
  </si>
  <si>
    <t>GE 3</t>
  </si>
  <si>
    <t>GE 4</t>
  </si>
  <si>
    <t>GE 5</t>
  </si>
  <si>
    <t>GE 6</t>
  </si>
  <si>
    <t>GE 7</t>
  </si>
  <si>
    <t>GE 8</t>
  </si>
  <si>
    <t>GE 9</t>
  </si>
  <si>
    <t>GEB 13</t>
  </si>
  <si>
    <t>Mathematics, Science and Technology</t>
  </si>
  <si>
    <t>CBME 1</t>
  </si>
  <si>
    <t>Operations Management and TQM</t>
  </si>
  <si>
    <t>CBME 2</t>
  </si>
  <si>
    <t>Strategic Management</t>
  </si>
  <si>
    <t>CORE  COURSES</t>
  </si>
  <si>
    <t>BACC 1</t>
  </si>
  <si>
    <t>Basic Microeconomics</t>
  </si>
  <si>
    <t>BACC 2</t>
  </si>
  <si>
    <t>Obligations and Contracts</t>
  </si>
  <si>
    <t>BACC 3</t>
  </si>
  <si>
    <t>Income taxation</t>
  </si>
  <si>
    <t>BACC 4</t>
  </si>
  <si>
    <t>Good Governance and Social Responsibility</t>
  </si>
  <si>
    <t>BACC 5</t>
  </si>
  <si>
    <t>Human Resource Management</t>
  </si>
  <si>
    <t>BACC 6</t>
  </si>
  <si>
    <t>International Trade and Agreements</t>
  </si>
  <si>
    <t>BACC 7</t>
  </si>
  <si>
    <t>Business Research</t>
  </si>
  <si>
    <t>BACC 8</t>
  </si>
  <si>
    <t>Feasibility Study</t>
  </si>
  <si>
    <t>BAMM 1</t>
  </si>
  <si>
    <t>Professional Salesmanship</t>
  </si>
  <si>
    <t>BAMM 2</t>
  </si>
  <si>
    <t>Marketing Management</t>
  </si>
  <si>
    <t>BAMM 3</t>
  </si>
  <si>
    <t>Product Management</t>
  </si>
  <si>
    <t>BAMM 4</t>
  </si>
  <si>
    <t>Marketing Research</t>
  </si>
  <si>
    <t>BAMM 5</t>
  </si>
  <si>
    <t>Pricing Strategy</t>
  </si>
  <si>
    <t>BAMM 6</t>
  </si>
  <si>
    <t>Distribution Management</t>
  </si>
  <si>
    <t>BAMM 7</t>
  </si>
  <si>
    <t>Retail Management</t>
  </si>
  <si>
    <t>BAMM 8</t>
  </si>
  <si>
    <t>Advertising</t>
  </si>
  <si>
    <t>BAMM 9</t>
  </si>
  <si>
    <t>Services Management</t>
  </si>
  <si>
    <t>BAMM 10</t>
  </si>
  <si>
    <t>Cooperative marketing</t>
  </si>
  <si>
    <t>BAMM 11</t>
  </si>
  <si>
    <t>Strategic Marketing management</t>
  </si>
  <si>
    <t>BAMM 12</t>
  </si>
  <si>
    <t>Entrepreneurial Management</t>
  </si>
  <si>
    <t>INTERNSHIP</t>
  </si>
  <si>
    <t>BAMM 13</t>
  </si>
  <si>
    <t>Practicum/ Work Integrated Learning</t>
  </si>
  <si>
    <t>ELECTIVES</t>
  </si>
  <si>
    <t>FIL 01</t>
  </si>
  <si>
    <t>Masining na Pagpapahayag</t>
  </si>
  <si>
    <t>FIL 02</t>
  </si>
  <si>
    <t>Panitikang Filipino</t>
  </si>
  <si>
    <t>AC 1</t>
  </si>
  <si>
    <t>AE 13</t>
  </si>
  <si>
    <t>Financial Accounting and Reporting</t>
  </si>
  <si>
    <t>KABANKALAN CITY, NEGROS OCCIDENTAL</t>
  </si>
  <si>
    <t>Effective School Year 2018-2019</t>
  </si>
  <si>
    <t xml:space="preserve"> </t>
  </si>
  <si>
    <t xml:space="preserve">F I R S T   Y E A R </t>
  </si>
  <si>
    <t>1st SEMESTER</t>
  </si>
  <si>
    <t>DESCRIPTION</t>
  </si>
  <si>
    <t xml:space="preserve">2nd SEMESTER </t>
  </si>
  <si>
    <t xml:space="preserve">DESCRIPTION </t>
  </si>
  <si>
    <t xml:space="preserve">Theology </t>
  </si>
  <si>
    <t>[3]</t>
  </si>
  <si>
    <t>Readings in Philippine History</t>
  </si>
  <si>
    <t xml:space="preserve">Accounting </t>
  </si>
  <si>
    <t>ITE</t>
  </si>
  <si>
    <t>none</t>
  </si>
  <si>
    <t>IT 102</t>
  </si>
  <si>
    <t xml:space="preserve">IT </t>
  </si>
  <si>
    <t>PE</t>
  </si>
  <si>
    <t>Rhythmic Activities</t>
  </si>
  <si>
    <t xml:space="preserve">PE </t>
  </si>
  <si>
    <t xml:space="preserve">Physical Fitness </t>
  </si>
  <si>
    <t>NSTP</t>
  </si>
  <si>
    <t>ROTC 2</t>
  </si>
  <si>
    <t>ROTC 1</t>
  </si>
  <si>
    <t>IT 304</t>
  </si>
  <si>
    <t xml:space="preserve">S E C O N D   Y E A R </t>
  </si>
  <si>
    <t xml:space="preserve">1st SEMESTER </t>
  </si>
  <si>
    <t>Sacraments and Liturgy</t>
  </si>
  <si>
    <t>Filipino</t>
  </si>
  <si>
    <t>GET</t>
  </si>
  <si>
    <t>IT 201</t>
  </si>
  <si>
    <t>IT 103</t>
  </si>
  <si>
    <t>IT 402</t>
  </si>
  <si>
    <t>IT 106</t>
  </si>
  <si>
    <t xml:space="preserve">Team Sports and Games </t>
  </si>
  <si>
    <t xml:space="preserve">Individual &amp; Dual Sports/Games </t>
  </si>
  <si>
    <t>IT 205</t>
  </si>
  <si>
    <t>Advanced Database Systems</t>
  </si>
  <si>
    <t>IT 204</t>
  </si>
  <si>
    <t xml:space="preserve">T H I R D   Y E A R </t>
  </si>
  <si>
    <t>Social Teachings of the Church and Community Involvement</t>
  </si>
  <si>
    <t>Mobile Application Development</t>
  </si>
  <si>
    <t>IT 301</t>
  </si>
  <si>
    <t>IT 305</t>
  </si>
  <si>
    <t>NONE</t>
  </si>
  <si>
    <t>Integrative Program Technologies 1</t>
  </si>
  <si>
    <t>IT 202/ IT 402</t>
  </si>
  <si>
    <t>Capstone and Project Research 1</t>
  </si>
  <si>
    <t>IT 301/ IT 304</t>
  </si>
  <si>
    <t>Integrative Program Technologies 2</t>
  </si>
  <si>
    <t xml:space="preserve">F O U R T H   Y E A R </t>
  </si>
  <si>
    <t>System Administration and Maintenance</t>
  </si>
  <si>
    <t>IT 203</t>
  </si>
  <si>
    <t>Capstone and Project Research 2</t>
  </si>
  <si>
    <t>Application Development and Emerging Technologies</t>
  </si>
  <si>
    <t>Human Computer Interaction 2</t>
  </si>
  <si>
    <t>IT 105</t>
  </si>
  <si>
    <t>IT304</t>
  </si>
  <si>
    <t>IT 302</t>
  </si>
  <si>
    <t>Web Systems and Technologies 2</t>
  </si>
  <si>
    <t>Social and Professional Issues 1</t>
  </si>
  <si>
    <t>IT 303</t>
  </si>
  <si>
    <t>Quantitative Methods</t>
  </si>
  <si>
    <t>Systems Integration and Architecture 2</t>
  </si>
  <si>
    <t>Social and Professional Issues 2</t>
  </si>
  <si>
    <t>Reading Visual Art</t>
  </si>
  <si>
    <t>Living in the IT Era</t>
  </si>
  <si>
    <t>The entrepreneurial Mind</t>
  </si>
  <si>
    <t>Reading Visual Arts</t>
  </si>
  <si>
    <t>Living in IT Era</t>
  </si>
  <si>
    <t>S U M M E R</t>
  </si>
  <si>
    <t>CC</t>
  </si>
  <si>
    <t>CC 102</t>
  </si>
  <si>
    <t>IT 101</t>
  </si>
  <si>
    <t>GEB</t>
  </si>
  <si>
    <t>The Entrepreneurial Mind</t>
  </si>
  <si>
    <t xml:space="preserve">GEB  </t>
  </si>
  <si>
    <t>Mobile Application and Development</t>
  </si>
  <si>
    <t>PRAC</t>
  </si>
  <si>
    <t>COMMON COMPUTER COURSES</t>
  </si>
  <si>
    <t>Physical Fitness</t>
  </si>
  <si>
    <t>Rhythmic Actvities</t>
  </si>
  <si>
    <t>Individual &amp; Dual Sports/ Games</t>
  </si>
  <si>
    <t>Team Sports and Games</t>
  </si>
  <si>
    <t>ROTC/CWTS 1</t>
  </si>
  <si>
    <t>ROTC/CWTS 2</t>
  </si>
  <si>
    <t xml:space="preserve">Theo </t>
  </si>
  <si>
    <t>The Enterpreneurial Mind</t>
  </si>
  <si>
    <t>Effective School Year 2022-2023</t>
  </si>
  <si>
    <t xml:space="preserve">     </t>
  </si>
  <si>
    <t>Course Code</t>
  </si>
  <si>
    <t>Course Title</t>
  </si>
  <si>
    <t>Lec. Hrs.</t>
  </si>
  <si>
    <t>Units</t>
  </si>
  <si>
    <t>Pre-Requisistes</t>
  </si>
  <si>
    <t>Lab. Hrs.</t>
  </si>
  <si>
    <t>No. of Hrs./Wk</t>
  </si>
  <si>
    <t>FIRST YEAR - 1ST SEMESTER</t>
  </si>
  <si>
    <t>FIRST YEAR - 2ND SEMESTER</t>
  </si>
  <si>
    <t>FIRST YEAR - SUMMER</t>
  </si>
  <si>
    <t xml:space="preserve">SECOND YEAR - 1ST SEMESTER </t>
  </si>
  <si>
    <t xml:space="preserve">SECOND YEAR - 2ND SEMESTER </t>
  </si>
  <si>
    <t>SECOND YEAR - SUMMER</t>
  </si>
  <si>
    <t xml:space="preserve">THIRD YEAR - 1ST SEMESTER </t>
  </si>
  <si>
    <t xml:space="preserve">FOURTH YEAR - 1ST SEMESTER </t>
  </si>
  <si>
    <t xml:space="preserve">THIRD YEAR - 2ND SEMESTER </t>
  </si>
  <si>
    <t>FOURTH YEAR - 2ND SEMESTER</t>
  </si>
  <si>
    <t>Integrative Programming and Technologies 2</t>
  </si>
  <si>
    <t>CC 103</t>
  </si>
  <si>
    <t>ITE103</t>
  </si>
  <si>
    <t>IT 202</t>
  </si>
  <si>
    <t>CC106</t>
  </si>
  <si>
    <t>IT101 / CC103</t>
  </si>
  <si>
    <t>IT201</t>
  </si>
  <si>
    <t>IT302</t>
  </si>
  <si>
    <t>ITE104</t>
  </si>
  <si>
    <t>CAP101</t>
  </si>
  <si>
    <t>CC106 / ITE109</t>
  </si>
  <si>
    <t>IT203</t>
  </si>
  <si>
    <t>IT204</t>
  </si>
  <si>
    <t>ITE101 / ITE102</t>
  </si>
  <si>
    <t>Web Systems and Technologies 1</t>
  </si>
  <si>
    <t>ITE107</t>
  </si>
  <si>
    <t>ROTC 1/ CWTS1</t>
  </si>
  <si>
    <t>ROTC 2/ CWTS 2</t>
  </si>
  <si>
    <t xml:space="preserve">    </t>
  </si>
  <si>
    <t>BACHELOR OF SCIENCE IN INFORMATION TECHNOLOGY (BSIT)</t>
  </si>
  <si>
    <t>(BSIT Curriculum for AY 2022-2023)</t>
  </si>
  <si>
    <t xml:space="preserve">Philippine Indigenous Communities </t>
  </si>
  <si>
    <t>PATHFit</t>
  </si>
  <si>
    <t>[2]</t>
  </si>
  <si>
    <t>(Effective A.Y. 2023-2024)</t>
  </si>
  <si>
    <t>Philippine Indigenous Communities</t>
  </si>
  <si>
    <t>Effective School Year 2023-2024</t>
  </si>
  <si>
    <t>Physical Activities Toward Health and Fitness 1: Movement Competency Training</t>
  </si>
  <si>
    <t>Physical Activities Toward Health and Fitness 2: Exercise-based Fitness Activities</t>
  </si>
  <si>
    <t>Physical Activities Toward Health and Fitness 3:              Menu of Dance</t>
  </si>
  <si>
    <t>Physical Activities Toward Health and Fitness 4:              Menu of Sports</t>
  </si>
  <si>
    <t>Physical Activities Toward Health and Fitness 3: Menu of Dance</t>
  </si>
  <si>
    <t>Physical Activities Toward Health and Fitness 4: Menu of Sports</t>
  </si>
  <si>
    <t>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</si>
</sst>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Arial Narrow"/>
      <family val="2"/>
    </font>
    <font>
      <sz val="11"/>
      <color theme="1"/>
      <name val="Arial Narrow"/>
      <family val="2"/>
    </font>
    <font>
      <sz val="12"/>
      <color theme="1"/>
      <name val="Arial Narrow"/>
      <family val="2"/>
    </font>
    <font>
      <b/>
      <sz val="10"/>
      <name val="Arial Narrow"/>
      <family val="2"/>
    </font>
    <font>
      <b/>
      <sz val="9"/>
      <name val="Arial Narrow"/>
      <family val="2"/>
    </font>
    <font>
      <b/>
      <sz val="8"/>
      <name val="Arial Narrow"/>
      <family val="2"/>
    </font>
    <font>
      <sz val="9"/>
      <name val="Arial Narrow"/>
      <family val="2"/>
    </font>
    <font>
      <sz val="10"/>
      <name val="Arial Narrow"/>
      <family val="2"/>
    </font>
    <font>
      <sz val="8"/>
      <name val="Arial Narrow"/>
      <family val="2"/>
    </font>
    <font>
      <sz val="9.5"/>
      <color theme="1"/>
      <name val="Arial Narrow"/>
      <family val="2"/>
    </font>
    <font>
      <u/>
      <sz val="10"/>
      <name val="Arial Narrow"/>
      <family val="2"/>
    </font>
    <font>
      <sz val="9"/>
      <color theme="1"/>
      <name val="Arial Narrow"/>
      <family val="2"/>
    </font>
    <font>
      <i/>
      <sz val="10"/>
      <name val="Arial Narrow"/>
      <family val="2"/>
    </font>
    <font>
      <sz val="8.6999999999999993"/>
      <name val="Arial Narrow"/>
      <family val="2"/>
    </font>
    <font>
      <b/>
      <sz val="9"/>
      <color theme="1"/>
      <name val="Arial Narrow"/>
      <family val="2"/>
    </font>
    <font>
      <b/>
      <sz val="10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0" xfId="0" applyFont="1" applyAlignment="1">
      <alignment horizontal="right"/>
    </xf>
    <xf numFmtId="0" fontId="6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2" borderId="0" xfId="0" applyFont="1" applyFill="1"/>
    <xf numFmtId="0" fontId="4" fillId="2" borderId="0" xfId="0" applyFont="1" applyFill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 vertical="center"/>
    </xf>
    <xf numFmtId="0" fontId="8" fillId="0" borderId="0" xfId="0" applyFont="1"/>
    <xf numFmtId="0" fontId="9" fillId="0" borderId="1" xfId="0" applyFont="1" applyBorder="1"/>
    <xf numFmtId="0" fontId="9" fillId="0" borderId="1" xfId="0" applyFont="1" applyBorder="1" applyAlignment="1">
      <alignment horizontal="center"/>
    </xf>
    <xf numFmtId="0" fontId="10" fillId="0" borderId="3" xfId="0" applyFont="1" applyBorder="1" applyAlignment="1">
      <alignment wrapText="1"/>
    </xf>
    <xf numFmtId="0" fontId="10" fillId="0" borderId="3" xfId="0" applyFont="1" applyBorder="1" applyAlignment="1">
      <alignment horizontal="center"/>
    </xf>
    <xf numFmtId="0" fontId="10" fillId="0" borderId="3" xfId="0" applyFont="1" applyBorder="1"/>
    <xf numFmtId="0" fontId="13" fillId="0" borderId="0" xfId="0" applyFont="1" applyAlignment="1">
      <alignment horizontal="left" vertical="top" wrapText="1"/>
    </xf>
    <xf numFmtId="0" fontId="14" fillId="0" borderId="0" xfId="0" applyFont="1" applyAlignment="1">
      <alignment horizontal="center" vertical="top" wrapText="1"/>
    </xf>
    <xf numFmtId="0" fontId="14" fillId="0" borderId="0" xfId="0" applyFont="1" applyAlignment="1">
      <alignment vertical="top" wrapText="1"/>
    </xf>
    <xf numFmtId="0" fontId="14" fillId="0" borderId="0" xfId="0" applyFont="1"/>
    <xf numFmtId="0" fontId="14" fillId="0" borderId="0" xfId="0" applyFont="1" applyAlignment="1">
      <alignment horizontal="center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 vertical="top"/>
    </xf>
    <xf numFmtId="0" fontId="7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14" fillId="0" borderId="0" xfId="0" applyFont="1" applyAlignment="1">
      <alignment horizontal="center" vertical="top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center"/>
    </xf>
    <xf numFmtId="0" fontId="14" fillId="0" borderId="0" xfId="0" applyFont="1" applyAlignment="1">
      <alignment horizontal="left"/>
    </xf>
    <xf numFmtId="0" fontId="15" fillId="0" borderId="0" xfId="0" applyFont="1"/>
    <xf numFmtId="0" fontId="14" fillId="0" borderId="4" xfId="0" applyFont="1" applyBorder="1" applyAlignment="1">
      <alignment horizontal="center"/>
    </xf>
    <xf numFmtId="0" fontId="15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13" fillId="0" borderId="0" xfId="0" applyFont="1" applyAlignment="1">
      <alignment vertical="top" wrapText="1"/>
    </xf>
    <xf numFmtId="0" fontId="7" fillId="0" borderId="0" xfId="0" applyFont="1" applyAlignment="1">
      <alignment horizontal="center" vertical="top" wrapText="1"/>
    </xf>
    <xf numFmtId="0" fontId="14" fillId="0" borderId="0" xfId="0" applyFont="1" applyAlignment="1">
      <alignment vertical="top"/>
    </xf>
    <xf numFmtId="0" fontId="1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top"/>
    </xf>
    <xf numFmtId="0" fontId="13" fillId="0" borderId="0" xfId="0" applyFont="1"/>
    <xf numFmtId="0" fontId="7" fillId="0" borderId="4" xfId="0" applyFont="1" applyBorder="1" applyAlignment="1">
      <alignment horizontal="center"/>
    </xf>
    <xf numFmtId="0" fontId="14" fillId="0" borderId="4" xfId="0" applyFont="1" applyBorder="1" applyAlignment="1">
      <alignment horizontal="center" vertical="top" wrapText="1"/>
    </xf>
    <xf numFmtId="0" fontId="7" fillId="0" borderId="1" xfId="0" applyFont="1" applyBorder="1"/>
    <xf numFmtId="0" fontId="14" fillId="0" borderId="1" xfId="0" applyFont="1" applyBorder="1" applyAlignment="1">
      <alignment horizontal="center"/>
    </xf>
    <xf numFmtId="0" fontId="15" fillId="0" borderId="1" xfId="0" applyFont="1" applyBorder="1"/>
    <xf numFmtId="0" fontId="14" fillId="0" borderId="1" xfId="0" applyFont="1" applyBorder="1"/>
    <xf numFmtId="0" fontId="17" fillId="0" borderId="1" xfId="0" applyFont="1" applyBorder="1" applyAlignment="1">
      <alignment horizontal="center"/>
    </xf>
    <xf numFmtId="0" fontId="15" fillId="0" borderId="0" xfId="0" applyFont="1" applyAlignment="1">
      <alignment vertical="top" wrapText="1"/>
    </xf>
    <xf numFmtId="0" fontId="14" fillId="0" borderId="0" xfId="0" applyFont="1" applyAlignment="1">
      <alignment horizontal="left" vertical="top"/>
    </xf>
    <xf numFmtId="0" fontId="18" fillId="0" borderId="0" xfId="0" applyFont="1" applyAlignment="1">
      <alignment horizontal="left"/>
    </xf>
    <xf numFmtId="0" fontId="14" fillId="0" borderId="0" xfId="0" quotePrefix="1" applyFont="1" applyAlignment="1">
      <alignment horizontal="center"/>
    </xf>
    <xf numFmtId="0" fontId="14" fillId="0" borderId="3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14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9" fillId="0" borderId="0" xfId="0" applyFont="1"/>
    <xf numFmtId="0" fontId="20" fillId="0" borderId="0" xfId="0" applyFont="1"/>
    <xf numFmtId="0" fontId="3" fillId="2" borderId="0" xfId="0" applyFont="1" applyFill="1" applyAlignment="1">
      <alignment horizontal="left"/>
    </xf>
    <xf numFmtId="0" fontId="7" fillId="0" borderId="1" xfId="0" applyFont="1" applyBorder="1" applyAlignment="1">
      <alignment horizontal="center"/>
    </xf>
    <xf numFmtId="0" fontId="14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18" fillId="0" borderId="5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8" fillId="0" borderId="5" xfId="0" applyFont="1" applyBorder="1" applyAlignment="1">
      <alignment vertical="center"/>
    </xf>
    <xf numFmtId="0" fontId="11" fillId="0" borderId="5" xfId="0" applyFont="1" applyBorder="1" applyAlignment="1">
      <alignment horizontal="center" vertical="center"/>
    </xf>
    <xf numFmtId="0" fontId="18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6" fillId="2" borderId="0" xfId="0" applyFont="1" applyFill="1"/>
    <xf numFmtId="0" fontId="4" fillId="0" borderId="14" xfId="0" applyFont="1" applyBorder="1"/>
    <xf numFmtId="0" fontId="4" fillId="0" borderId="14" xfId="0" applyFont="1" applyBorder="1" applyAlignment="1">
      <alignment horizontal="left"/>
    </xf>
    <xf numFmtId="0" fontId="6" fillId="0" borderId="14" xfId="0" applyFont="1" applyBorder="1"/>
    <xf numFmtId="0" fontId="7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21" fillId="0" borderId="5" xfId="0" applyFont="1" applyBorder="1" applyAlignment="1">
      <alignment horizontal="center" vertical="center"/>
    </xf>
    <xf numFmtId="0" fontId="21" fillId="0" borderId="5" xfId="0" applyFont="1" applyBorder="1" applyAlignment="1">
      <alignment vertical="center"/>
    </xf>
    <xf numFmtId="0" fontId="7" fillId="0" borderId="0" xfId="0" applyFont="1" applyAlignment="1">
      <alignment vertical="center" wrapText="1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vertical="center" wrapText="1"/>
    </xf>
    <xf numFmtId="0" fontId="22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/>
    </xf>
    <xf numFmtId="0" fontId="14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5" xfId="0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0" fontId="14" fillId="0" borderId="5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2" fillId="0" borderId="5" xfId="0" applyFont="1" applyBorder="1" applyAlignment="1">
      <alignment horizontal="righ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14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 wrapText="1"/>
    </xf>
    <xf numFmtId="0" fontId="14" fillId="0" borderId="5" xfId="0" quotePrefix="1" applyFont="1" applyBorder="1" applyAlignment="1">
      <alignment horizontal="center" vertical="center"/>
    </xf>
    <xf numFmtId="0" fontId="14" fillId="0" borderId="0" xfId="0" quotePrefix="1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0" fillId="0" borderId="2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2" fillId="0" borderId="3" xfId="0" applyFont="1" applyBorder="1" applyAlignment="1">
      <alignment horizontal="center" wrapText="1"/>
    </xf>
    <xf numFmtId="0" fontId="10" fillId="0" borderId="3" xfId="0" applyFont="1" applyBorder="1" applyAlignment="1">
      <alignment horizontal="center" wrapText="1"/>
    </xf>
    <xf numFmtId="0" fontId="4" fillId="0" borderId="14" xfId="0" applyFont="1" applyBorder="1" applyAlignment="1">
      <alignment horizontal="right"/>
    </xf>
    <xf numFmtId="0" fontId="7" fillId="0" borderId="0" xfId="0" applyFont="1" applyAlignment="1">
      <alignment horizontal="center" vertical="center"/>
    </xf>
    <xf numFmtId="0" fontId="10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22" fillId="0" borderId="5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10" xfId="0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198782</xdr:colOff>
      <xdr:row>2</xdr:row>
      <xdr:rowOff>59634</xdr:rowOff>
    </xdr:from>
    <xdr:ext cx="715083" cy="615759"/>
    <xdr:pic>
      <xdr:nvPicPr>
        <xdr:cNvPr id="2" name="Picture 1">
          <a:extLst>
            <a:ext uri="{FF2B5EF4-FFF2-40B4-BE49-F238E27FC236}">
              <a16:creationId xmlns:a16="http://schemas.microsoft.com/office/drawing/2014/main" id="{F42BC9FB-A2F3-4C82-A4D6-089FB174F6B9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320702" y="478734"/>
          <a:ext cx="692223" cy="615759"/>
        </a:xfrm>
        <a:prstGeom prst="rect">
          <a:avLst/>
        </a:prstGeom>
        <a:noFill/>
      </xdr:spPr>
    </xdr:pic>
    <xdr:clientData/>
  </xdr:oneCellAnchor>
  <xdr:oneCellAnchor>
    <xdr:from>
      <xdr:col>2</xdr:col>
      <xdr:colOff>31750</xdr:colOff>
      <xdr:row>112</xdr:row>
      <xdr:rowOff>48260</xdr:rowOff>
    </xdr:from>
    <xdr:ext cx="713205" cy="703665"/>
    <xdr:pic>
      <xdr:nvPicPr>
        <xdr:cNvPr id="3" name="Picture 2">
          <a:extLst>
            <a:ext uri="{FF2B5EF4-FFF2-40B4-BE49-F238E27FC236}">
              <a16:creationId xmlns:a16="http://schemas.microsoft.com/office/drawing/2014/main" id="{E03AC0FE-A4CA-4099-9721-9D8AE4859F93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96570" y="22260560"/>
          <a:ext cx="690345" cy="703665"/>
        </a:xfrm>
        <a:prstGeom prst="rect">
          <a:avLst/>
        </a:prstGeom>
        <a:noFill/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520213</xdr:colOff>
      <xdr:row>0</xdr:row>
      <xdr:rowOff>43962</xdr:rowOff>
    </xdr:from>
    <xdr:to>
      <xdr:col>2</xdr:col>
      <xdr:colOff>821139</xdr:colOff>
      <xdr:row>1</xdr:row>
      <xdr:rowOff>109547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EB2329-064A-4272-A090-5332784E59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3653" y="43962"/>
          <a:ext cx="278066" cy="2484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1135674</xdr:colOff>
      <xdr:row>0</xdr:row>
      <xdr:rowOff>84993</xdr:rowOff>
    </xdr:from>
    <xdr:to>
      <xdr:col>2</xdr:col>
      <xdr:colOff>1574340</xdr:colOff>
      <xdr:row>2</xdr:row>
      <xdr:rowOff>152401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2B10AE-CC55-4116-A7BB-5A855B1516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85597" y="84993"/>
          <a:ext cx="438666" cy="4191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0</xdr:row>
      <xdr:rowOff>38100</xdr:rowOff>
    </xdr:from>
    <xdr:ext cx="822960" cy="824286"/>
    <xdr:pic>
      <xdr:nvPicPr>
        <xdr:cNvPr id="2" name="Picture 1">
          <a:extLst>
            <a:ext uri="{FF2B5EF4-FFF2-40B4-BE49-F238E27FC236}">
              <a16:creationId xmlns:a16="http://schemas.microsoft.com/office/drawing/2014/main" id="{E6E1DD18-5A88-4F4E-8776-B29C0FBC0F8A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44780" y="38100"/>
          <a:ext cx="822960" cy="824286"/>
        </a:xfrm>
        <a:prstGeom prst="rect">
          <a:avLst/>
        </a:prstGeom>
        <a:noFill/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22860</xdr:colOff>
      <xdr:row>0</xdr:row>
      <xdr:rowOff>38100</xdr:rowOff>
    </xdr:from>
    <xdr:ext cx="739140" cy="695325"/>
    <xdr:pic>
      <xdr:nvPicPr>
        <xdr:cNvPr id="2" name="Picture 1">
          <a:extLst>
            <a:ext uri="{FF2B5EF4-FFF2-40B4-BE49-F238E27FC236}">
              <a16:creationId xmlns:a16="http://schemas.microsoft.com/office/drawing/2014/main" id="{AECFCC59-A0BE-469A-8282-88A9EA737D1B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137160" y="38100"/>
          <a:ext cx="739140" cy="695325"/>
        </a:xfrm>
        <a:prstGeom prst="rect">
          <a:avLst/>
        </a:prstGeom>
        <a:noFill/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287216</xdr:colOff>
      <xdr:row>0</xdr:row>
      <xdr:rowOff>29308</xdr:rowOff>
    </xdr:from>
    <xdr:ext cx="539496" cy="539496"/>
    <xdr:pic>
      <xdr:nvPicPr>
        <xdr:cNvPr id="3" name="Picture 2">
          <a:extLst>
            <a:ext uri="{FF2B5EF4-FFF2-40B4-BE49-F238E27FC236}">
              <a16:creationId xmlns:a16="http://schemas.microsoft.com/office/drawing/2014/main" id="{CEEAD085-FF1A-45F0-A984-00E5686496A9}"/>
            </a:ext>
          </a:extLst>
        </xdr:cNvPr>
        <xdr:cNvPicPr/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967154" y="29308"/>
          <a:ext cx="539496" cy="539496"/>
        </a:xfrm>
        <a:prstGeom prst="rect">
          <a:avLst/>
        </a:prstGeom>
        <a:noFill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BED2C-798A-40E0-B4A5-46482A83D25D}">
  <dimension ref="A1:T193"/>
  <sheetViews>
    <sheetView topLeftCell="A8" workbookViewId="0">
      <selection activeCell="C47" sqref="C47"/>
    </sheetView>
  </sheetViews>
  <sheetFormatPr defaultColWidth="9.28515625" defaultRowHeight="15.75" x14ac:dyDescent="0.25"/>
  <cols>
    <col min="1" max="1" width="1.7109375" style="1" customWidth="1"/>
    <col min="2" max="2" width="5" style="1" customWidth="1"/>
    <col min="3" max="3" width="6.7109375" style="10" customWidth="1"/>
    <col min="4" max="4" width="50.42578125" style="1" customWidth="1"/>
    <col min="5" max="5" width="7.28515625" style="2" customWidth="1"/>
    <col min="6" max="6" width="7.7109375" style="1" customWidth="1"/>
    <col min="7" max="7" width="5" style="6" customWidth="1"/>
    <col min="8" max="8" width="6.28515625" style="8" customWidth="1"/>
    <col min="9" max="9" width="3.7109375" style="1" customWidth="1"/>
    <col min="10" max="11" width="9.28515625" style="1"/>
    <col min="12" max="12" width="50.28515625" style="1" customWidth="1"/>
    <col min="13" max="16384" width="9.28515625" style="1"/>
  </cols>
  <sheetData>
    <row r="1" spans="1:20" ht="18.75" x14ac:dyDescent="0.3">
      <c r="A1" s="125" t="s">
        <v>0</v>
      </c>
      <c r="B1" s="125"/>
      <c r="C1" s="125"/>
      <c r="D1" s="125"/>
      <c r="E1" s="125"/>
      <c r="F1" s="125"/>
      <c r="G1" s="125"/>
      <c r="H1" s="125"/>
      <c r="I1" s="125"/>
    </row>
    <row r="3" spans="1:20" ht="18.75" x14ac:dyDescent="0.3">
      <c r="A3" s="125" t="s">
        <v>1</v>
      </c>
      <c r="B3" s="125"/>
      <c r="C3" s="125"/>
      <c r="D3" s="125"/>
      <c r="E3" s="125"/>
      <c r="F3" s="125"/>
      <c r="G3" s="125"/>
      <c r="H3" s="125"/>
      <c r="I3" s="125"/>
    </row>
    <row r="4" spans="1:20" x14ac:dyDescent="0.25">
      <c r="A4" s="122" t="s">
        <v>2</v>
      </c>
      <c r="B4" s="122"/>
      <c r="C4" s="122"/>
      <c r="D4" s="122"/>
      <c r="E4" s="122"/>
      <c r="F4" s="122"/>
      <c r="G4" s="122"/>
      <c r="H4" s="122"/>
      <c r="I4" s="122"/>
      <c r="J4" s="2"/>
      <c r="K4" s="2"/>
      <c r="L4" s="2"/>
      <c r="M4" s="2"/>
      <c r="N4" s="2"/>
      <c r="O4" s="2"/>
      <c r="P4" s="2"/>
      <c r="Q4" s="2"/>
      <c r="R4" s="2"/>
      <c r="S4" s="2"/>
      <c r="T4" s="2"/>
    </row>
    <row r="5" spans="1:20" x14ac:dyDescent="0.25">
      <c r="A5" s="122" t="s">
        <v>3</v>
      </c>
      <c r="B5" s="122"/>
      <c r="C5" s="122"/>
      <c r="D5" s="122"/>
      <c r="E5" s="122"/>
      <c r="F5" s="122"/>
      <c r="G5" s="122"/>
      <c r="H5" s="122"/>
      <c r="I5" s="122"/>
      <c r="J5" s="2"/>
      <c r="K5" s="2"/>
      <c r="L5" s="2"/>
      <c r="M5" s="2"/>
      <c r="N5" s="2"/>
      <c r="O5" s="2"/>
      <c r="P5" s="2"/>
      <c r="Q5" s="2"/>
      <c r="R5" s="2"/>
      <c r="S5" s="2"/>
      <c r="T5" s="2"/>
    </row>
    <row r="6" spans="1:20" x14ac:dyDescent="0.25">
      <c r="A6" s="3"/>
      <c r="B6" s="3"/>
      <c r="C6" s="4"/>
      <c r="D6" s="3"/>
      <c r="E6" s="3"/>
      <c r="F6" s="3"/>
      <c r="G6" s="5"/>
      <c r="H6" s="5"/>
      <c r="I6" s="3"/>
      <c r="J6" s="2"/>
      <c r="K6" s="2"/>
      <c r="L6" s="2"/>
      <c r="M6" s="2"/>
      <c r="N6" s="2"/>
      <c r="O6" s="2"/>
      <c r="P6" s="2"/>
      <c r="Q6" s="2"/>
      <c r="R6" s="2"/>
      <c r="S6" s="2"/>
      <c r="T6" s="2"/>
    </row>
    <row r="7" spans="1:20" x14ac:dyDescent="0.25">
      <c r="A7" s="121" t="s">
        <v>4</v>
      </c>
      <c r="B7" s="121"/>
      <c r="C7" s="121"/>
      <c r="D7" s="121"/>
      <c r="E7" s="121"/>
      <c r="F7" s="121"/>
      <c r="G7" s="121"/>
      <c r="H7" s="121"/>
      <c r="I7" s="121"/>
      <c r="J7" s="2"/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x14ac:dyDescent="0.25">
      <c r="A8" s="122"/>
      <c r="B8" s="122"/>
      <c r="C8" s="122"/>
      <c r="D8" s="122"/>
      <c r="E8" s="122"/>
      <c r="F8" s="122"/>
      <c r="G8" s="122"/>
      <c r="H8" s="122"/>
      <c r="I8" s="122"/>
      <c r="J8" s="2"/>
      <c r="K8" s="2"/>
      <c r="L8" s="2"/>
      <c r="M8" s="2"/>
      <c r="N8" s="2"/>
      <c r="O8" s="2"/>
      <c r="P8" s="2"/>
      <c r="Q8" s="2"/>
      <c r="R8" s="2"/>
      <c r="S8" s="2"/>
      <c r="T8" s="2"/>
    </row>
    <row r="9" spans="1:20" x14ac:dyDescent="0.25">
      <c r="B9" s="2"/>
      <c r="C9" s="4"/>
      <c r="D9" s="2"/>
      <c r="F9" s="2"/>
      <c r="H9" s="6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5">
      <c r="A10" s="6" t="s">
        <v>5</v>
      </c>
      <c r="B10" s="2"/>
      <c r="C10" s="4"/>
      <c r="D10" s="2"/>
      <c r="F10" s="2"/>
      <c r="G10" s="6">
        <f>SUM(E11:E25)</f>
        <v>42</v>
      </c>
      <c r="H10" s="6" t="s">
        <v>6</v>
      </c>
      <c r="K10" s="2"/>
      <c r="L10" s="2"/>
      <c r="M10" s="2"/>
      <c r="N10" s="2"/>
      <c r="O10" s="2"/>
      <c r="P10" s="2"/>
      <c r="Q10" s="2"/>
      <c r="R10" s="2"/>
      <c r="S10" s="2"/>
      <c r="T10" s="2"/>
    </row>
    <row r="11" spans="1:20" x14ac:dyDescent="0.25">
      <c r="B11" s="2" t="s">
        <v>7</v>
      </c>
      <c r="C11" s="4">
        <v>1</v>
      </c>
      <c r="D11" s="1" t="s">
        <v>8</v>
      </c>
      <c r="E11" s="7">
        <v>3</v>
      </c>
      <c r="F11" s="2" t="s">
        <v>6</v>
      </c>
      <c r="H11" s="6"/>
      <c r="K11" s="2"/>
      <c r="L11" s="2"/>
      <c r="M11" s="2"/>
      <c r="N11" s="2"/>
      <c r="O11" s="2"/>
      <c r="P11" s="2"/>
      <c r="Q11" s="2"/>
      <c r="R11" s="2"/>
      <c r="S11" s="2"/>
      <c r="T11" s="2"/>
    </row>
    <row r="12" spans="1:20" x14ac:dyDescent="0.25">
      <c r="B12" s="2" t="s">
        <v>7</v>
      </c>
      <c r="C12" s="4">
        <v>2</v>
      </c>
      <c r="D12" s="1" t="s">
        <v>9</v>
      </c>
      <c r="E12" s="7">
        <v>3</v>
      </c>
      <c r="F12" s="2" t="s">
        <v>6</v>
      </c>
      <c r="H12" s="6"/>
      <c r="K12" s="2"/>
      <c r="L12" s="2"/>
      <c r="M12" s="2"/>
      <c r="N12" s="2"/>
      <c r="O12" s="2"/>
      <c r="P12" s="2"/>
      <c r="Q12" s="2"/>
      <c r="R12" s="2"/>
      <c r="S12" s="2"/>
      <c r="T12" s="2"/>
    </row>
    <row r="13" spans="1:20" x14ac:dyDescent="0.25">
      <c r="B13" s="2" t="s">
        <v>7</v>
      </c>
      <c r="C13" s="4">
        <v>3</v>
      </c>
      <c r="D13" s="1" t="s">
        <v>10</v>
      </c>
      <c r="E13" s="7">
        <v>3</v>
      </c>
      <c r="F13" s="2" t="s">
        <v>6</v>
      </c>
      <c r="H13" s="6"/>
      <c r="K13" s="2"/>
      <c r="L13" s="2"/>
      <c r="M13" s="2"/>
      <c r="N13" s="2"/>
      <c r="O13" s="2"/>
      <c r="P13" s="2"/>
      <c r="Q13" s="2"/>
      <c r="R13" s="2"/>
      <c r="S13" s="2"/>
      <c r="T13" s="2"/>
    </row>
    <row r="14" spans="1:20" x14ac:dyDescent="0.25">
      <c r="B14" s="2" t="s">
        <v>7</v>
      </c>
      <c r="C14" s="4">
        <v>4</v>
      </c>
      <c r="D14" s="1" t="s">
        <v>11</v>
      </c>
      <c r="E14" s="7">
        <v>3</v>
      </c>
      <c r="F14" s="2" t="s">
        <v>6</v>
      </c>
      <c r="H14" s="6"/>
      <c r="K14" s="2"/>
      <c r="L14" s="2"/>
      <c r="M14" s="2"/>
      <c r="N14" s="2"/>
      <c r="O14" s="2"/>
      <c r="P14" s="2"/>
      <c r="Q14" s="2"/>
      <c r="R14" s="2"/>
      <c r="S14" s="2"/>
      <c r="T14" s="2"/>
    </row>
    <row r="15" spans="1:20" x14ac:dyDescent="0.25">
      <c r="B15" s="2" t="s">
        <v>7</v>
      </c>
      <c r="C15" s="4">
        <v>5</v>
      </c>
      <c r="D15" s="1" t="s">
        <v>12</v>
      </c>
      <c r="E15" s="7">
        <v>3</v>
      </c>
      <c r="F15" s="2" t="s">
        <v>6</v>
      </c>
      <c r="H15" s="6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 x14ac:dyDescent="0.25">
      <c r="B16" s="2" t="s">
        <v>7</v>
      </c>
      <c r="C16" s="4">
        <v>6</v>
      </c>
      <c r="D16" s="1" t="s">
        <v>13</v>
      </c>
      <c r="E16" s="7">
        <v>3</v>
      </c>
      <c r="F16" s="2" t="s">
        <v>6</v>
      </c>
      <c r="H16" s="6"/>
      <c r="K16" s="2"/>
      <c r="L16" s="2"/>
      <c r="M16" s="2"/>
      <c r="N16" s="2"/>
      <c r="O16" s="2"/>
      <c r="P16" s="2"/>
      <c r="Q16" s="2"/>
      <c r="R16" s="2"/>
      <c r="S16" s="2"/>
      <c r="T16" s="2"/>
    </row>
    <row r="17" spans="1:20" x14ac:dyDescent="0.25">
      <c r="B17" s="2" t="s">
        <v>7</v>
      </c>
      <c r="C17" s="4">
        <v>7</v>
      </c>
      <c r="D17" s="1" t="s">
        <v>14</v>
      </c>
      <c r="E17" s="7">
        <v>3</v>
      </c>
      <c r="F17" s="2" t="s">
        <v>6</v>
      </c>
      <c r="H17" s="6"/>
      <c r="K17" s="2"/>
      <c r="L17" s="2"/>
      <c r="M17" s="2"/>
      <c r="N17" s="2"/>
      <c r="O17" s="2"/>
      <c r="P17" s="2"/>
      <c r="Q17" s="2"/>
      <c r="R17" s="2"/>
      <c r="S17" s="2"/>
      <c r="T17" s="2"/>
    </row>
    <row r="18" spans="1:20" x14ac:dyDescent="0.25">
      <c r="B18" s="2" t="s">
        <v>7</v>
      </c>
      <c r="C18" s="4">
        <v>8</v>
      </c>
      <c r="D18" s="1" t="s">
        <v>15</v>
      </c>
      <c r="E18" s="7">
        <v>3</v>
      </c>
      <c r="F18" s="2" t="s">
        <v>6</v>
      </c>
      <c r="H18" s="6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5">
      <c r="B19" s="2" t="s">
        <v>7</v>
      </c>
      <c r="C19" s="4">
        <v>9</v>
      </c>
      <c r="D19" s="1" t="s">
        <v>16</v>
      </c>
      <c r="E19" s="7">
        <v>3</v>
      </c>
      <c r="F19" s="2" t="s">
        <v>6</v>
      </c>
      <c r="H19" s="6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5">
      <c r="B20" s="2"/>
      <c r="C20" s="4" t="s">
        <v>17</v>
      </c>
      <c r="E20" s="7"/>
      <c r="F20" s="2"/>
      <c r="H20" s="6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x14ac:dyDescent="0.25">
      <c r="B21" s="2" t="s">
        <v>18</v>
      </c>
      <c r="C21" s="4"/>
      <c r="D21" s="1" t="s">
        <v>225</v>
      </c>
      <c r="E21" s="7">
        <v>3</v>
      </c>
      <c r="F21" s="2" t="s">
        <v>6</v>
      </c>
      <c r="H21" s="6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x14ac:dyDescent="0.25">
      <c r="B22" s="2" t="s">
        <v>19</v>
      </c>
      <c r="C22" s="4"/>
      <c r="D22" s="1" t="s">
        <v>226</v>
      </c>
      <c r="E22" s="7">
        <v>3</v>
      </c>
      <c r="F22" s="2" t="s">
        <v>6</v>
      </c>
      <c r="H22" s="6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x14ac:dyDescent="0.25">
      <c r="B23" s="2" t="s">
        <v>21</v>
      </c>
      <c r="C23" s="4"/>
      <c r="D23" s="1" t="s">
        <v>224</v>
      </c>
      <c r="E23" s="7">
        <v>3</v>
      </c>
      <c r="F23" s="2" t="s">
        <v>6</v>
      </c>
      <c r="H23" s="6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5">
      <c r="B24" s="2" t="s">
        <v>23</v>
      </c>
      <c r="C24" s="4">
        <v>1</v>
      </c>
      <c r="D24" s="1" t="s">
        <v>154</v>
      </c>
      <c r="E24" s="7">
        <v>3</v>
      </c>
      <c r="F24" s="2" t="s">
        <v>6</v>
      </c>
      <c r="H24" s="6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5">
      <c r="B25" s="2" t="s">
        <v>23</v>
      </c>
      <c r="C25" s="4">
        <v>2</v>
      </c>
      <c r="D25" s="1" t="s">
        <v>156</v>
      </c>
      <c r="E25" s="7">
        <v>3</v>
      </c>
      <c r="F25" s="2" t="s">
        <v>6</v>
      </c>
      <c r="H25" s="6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x14ac:dyDescent="0.25">
      <c r="B26" s="2"/>
      <c r="C26" s="4"/>
      <c r="E26" s="7"/>
      <c r="F26" s="2"/>
      <c r="H26" s="6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x14ac:dyDescent="0.25">
      <c r="A27" s="6" t="s">
        <v>24</v>
      </c>
      <c r="C27" s="4"/>
      <c r="D27" s="2"/>
      <c r="F27" s="2"/>
      <c r="G27" s="6">
        <f>SUM(E28:E33)</f>
        <v>18</v>
      </c>
      <c r="H27" s="6" t="s">
        <v>6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x14ac:dyDescent="0.25">
      <c r="A28" s="8"/>
      <c r="B28" s="9" t="s">
        <v>25</v>
      </c>
      <c r="C28" s="10">
        <v>101</v>
      </c>
      <c r="D28" s="9" t="s">
        <v>26</v>
      </c>
      <c r="E28" s="7">
        <v>3</v>
      </c>
      <c r="F28" s="9" t="s">
        <v>6</v>
      </c>
      <c r="G28" s="11"/>
    </row>
    <row r="29" spans="1:20" x14ac:dyDescent="0.25">
      <c r="A29" s="8"/>
      <c r="B29" s="9" t="s">
        <v>25</v>
      </c>
      <c r="C29" s="10">
        <v>102</v>
      </c>
      <c r="D29" s="9" t="s">
        <v>27</v>
      </c>
      <c r="E29" s="7">
        <v>3</v>
      </c>
      <c r="F29" s="9" t="s">
        <v>6</v>
      </c>
      <c r="G29" s="11"/>
    </row>
    <row r="30" spans="1:20" x14ac:dyDescent="0.25">
      <c r="A30" s="8"/>
      <c r="B30" s="9" t="s">
        <v>25</v>
      </c>
      <c r="C30" s="10">
        <v>103</v>
      </c>
      <c r="D30" s="9" t="s">
        <v>28</v>
      </c>
      <c r="E30" s="7">
        <v>3</v>
      </c>
      <c r="F30" s="9" t="s">
        <v>6</v>
      </c>
      <c r="G30" s="11"/>
    </row>
    <row r="31" spans="1:20" x14ac:dyDescent="0.25">
      <c r="A31" s="8"/>
      <c r="B31" s="9" t="s">
        <v>25</v>
      </c>
      <c r="C31" s="10">
        <v>201</v>
      </c>
      <c r="D31" s="9" t="s">
        <v>29</v>
      </c>
      <c r="E31" s="7">
        <v>3</v>
      </c>
      <c r="F31" s="9" t="s">
        <v>6</v>
      </c>
      <c r="G31" s="11"/>
    </row>
    <row r="32" spans="1:20" x14ac:dyDescent="0.25">
      <c r="A32" s="8"/>
      <c r="B32" s="9" t="s">
        <v>25</v>
      </c>
      <c r="C32" s="10">
        <v>204</v>
      </c>
      <c r="D32" s="9" t="s">
        <v>30</v>
      </c>
      <c r="E32" s="7">
        <v>3</v>
      </c>
      <c r="F32" s="9" t="s">
        <v>6</v>
      </c>
      <c r="G32" s="11"/>
    </row>
    <row r="33" spans="1:8" x14ac:dyDescent="0.25">
      <c r="A33" s="8"/>
      <c r="B33" s="9" t="s">
        <v>25</v>
      </c>
      <c r="C33" s="10">
        <v>301</v>
      </c>
      <c r="D33" s="9" t="s">
        <v>31</v>
      </c>
      <c r="E33" s="7">
        <v>3</v>
      </c>
      <c r="F33" s="9" t="s">
        <v>6</v>
      </c>
      <c r="G33" s="11"/>
    </row>
    <row r="34" spans="1:8" x14ac:dyDescent="0.25">
      <c r="A34" s="8"/>
    </row>
    <row r="35" spans="1:8" x14ac:dyDescent="0.25">
      <c r="A35" s="6" t="s">
        <v>32</v>
      </c>
      <c r="G35" s="6">
        <f>SUM(E36:E50)</f>
        <v>48</v>
      </c>
      <c r="H35" s="8" t="s">
        <v>6</v>
      </c>
    </row>
    <row r="36" spans="1:8" x14ac:dyDescent="0.25">
      <c r="A36" s="8"/>
      <c r="B36" s="9" t="s">
        <v>25</v>
      </c>
      <c r="C36" s="10">
        <v>105</v>
      </c>
      <c r="D36" s="9" t="s">
        <v>33</v>
      </c>
      <c r="E36" s="7">
        <v>3</v>
      </c>
      <c r="F36" s="9" t="s">
        <v>6</v>
      </c>
    </row>
    <row r="37" spans="1:8" x14ac:dyDescent="0.25">
      <c r="A37" s="8"/>
      <c r="B37" s="9" t="s">
        <v>25</v>
      </c>
      <c r="C37" s="10">
        <v>106</v>
      </c>
      <c r="D37" s="9" t="s">
        <v>34</v>
      </c>
      <c r="E37" s="7">
        <v>3</v>
      </c>
      <c r="F37" s="9" t="s">
        <v>6</v>
      </c>
    </row>
    <row r="38" spans="1:8" x14ac:dyDescent="0.25">
      <c r="A38" s="8"/>
      <c r="B38" s="9" t="s">
        <v>25</v>
      </c>
      <c r="C38" s="10">
        <v>203</v>
      </c>
      <c r="D38" s="9" t="s">
        <v>35</v>
      </c>
      <c r="E38" s="7">
        <v>3</v>
      </c>
      <c r="F38" s="9" t="s">
        <v>6</v>
      </c>
    </row>
    <row r="39" spans="1:8" x14ac:dyDescent="0.25">
      <c r="A39" s="8"/>
      <c r="B39" s="9" t="s">
        <v>25</v>
      </c>
      <c r="C39" s="10">
        <v>206</v>
      </c>
      <c r="D39" s="9" t="s">
        <v>36</v>
      </c>
      <c r="E39" s="7">
        <v>3</v>
      </c>
      <c r="F39" s="9" t="s">
        <v>6</v>
      </c>
    </row>
    <row r="40" spans="1:8" x14ac:dyDescent="0.25">
      <c r="A40" s="8"/>
      <c r="B40" s="9" t="s">
        <v>25</v>
      </c>
      <c r="C40" s="10">
        <v>208</v>
      </c>
      <c r="D40" s="9" t="s">
        <v>37</v>
      </c>
      <c r="E40" s="7">
        <v>3</v>
      </c>
      <c r="F40" s="9" t="s">
        <v>6</v>
      </c>
    </row>
    <row r="41" spans="1:8" x14ac:dyDescent="0.25">
      <c r="A41" s="8"/>
      <c r="B41" s="9" t="s">
        <v>25</v>
      </c>
      <c r="C41" s="10">
        <v>305</v>
      </c>
      <c r="D41" s="9" t="s">
        <v>38</v>
      </c>
      <c r="E41" s="7">
        <v>3</v>
      </c>
      <c r="F41" s="9" t="s">
        <v>6</v>
      </c>
    </row>
    <row r="42" spans="1:8" x14ac:dyDescent="0.25">
      <c r="A42" s="8"/>
      <c r="B42" s="9" t="s">
        <v>25</v>
      </c>
      <c r="C42" s="10">
        <v>104</v>
      </c>
      <c r="D42" s="9" t="s">
        <v>39</v>
      </c>
      <c r="E42" s="7">
        <v>3</v>
      </c>
      <c r="F42" s="9" t="s">
        <v>6</v>
      </c>
    </row>
    <row r="43" spans="1:8" x14ac:dyDescent="0.25">
      <c r="A43" s="8"/>
      <c r="B43" s="9" t="s">
        <v>25</v>
      </c>
      <c r="C43" s="10">
        <v>205</v>
      </c>
      <c r="D43" s="9" t="s">
        <v>40</v>
      </c>
      <c r="E43" s="7">
        <v>3</v>
      </c>
      <c r="F43" s="9" t="s">
        <v>6</v>
      </c>
    </row>
    <row r="44" spans="1:8" x14ac:dyDescent="0.25">
      <c r="A44" s="8"/>
      <c r="B44" s="9" t="s">
        <v>25</v>
      </c>
      <c r="C44" s="10">
        <v>207</v>
      </c>
      <c r="D44" s="9" t="s">
        <v>41</v>
      </c>
      <c r="E44" s="7">
        <v>3</v>
      </c>
      <c r="F44" s="9" t="s">
        <v>6</v>
      </c>
    </row>
    <row r="45" spans="1:8" x14ac:dyDescent="0.25">
      <c r="B45" s="9" t="s">
        <v>25</v>
      </c>
      <c r="C45" s="10">
        <v>500</v>
      </c>
      <c r="D45" s="9" t="s">
        <v>42</v>
      </c>
      <c r="E45" s="7">
        <v>6</v>
      </c>
      <c r="F45" s="9" t="s">
        <v>6</v>
      </c>
    </row>
    <row r="46" spans="1:8" x14ac:dyDescent="0.25">
      <c r="B46" s="9" t="s">
        <v>25</v>
      </c>
      <c r="C46" s="10">
        <v>401</v>
      </c>
      <c r="D46" s="9" t="s">
        <v>43</v>
      </c>
      <c r="E46" s="7">
        <v>3</v>
      </c>
      <c r="F46" s="9" t="s">
        <v>6</v>
      </c>
    </row>
    <row r="47" spans="1:8" x14ac:dyDescent="0.25">
      <c r="B47" s="9" t="s">
        <v>25</v>
      </c>
      <c r="C47" s="10">
        <v>304</v>
      </c>
      <c r="D47" s="9" t="s">
        <v>44</v>
      </c>
      <c r="E47" s="7">
        <v>3</v>
      </c>
      <c r="F47" s="9" t="s">
        <v>6</v>
      </c>
    </row>
    <row r="48" spans="1:8" x14ac:dyDescent="0.25">
      <c r="A48" s="8"/>
      <c r="B48" s="9" t="s">
        <v>25</v>
      </c>
      <c r="C48" s="10">
        <v>303</v>
      </c>
      <c r="D48" s="9" t="s">
        <v>45</v>
      </c>
      <c r="E48" s="7">
        <v>3</v>
      </c>
      <c r="F48" s="9" t="s">
        <v>6</v>
      </c>
      <c r="H48" s="1"/>
    </row>
    <row r="49" spans="1:20" x14ac:dyDescent="0.25">
      <c r="B49" s="9" t="s">
        <v>46</v>
      </c>
      <c r="C49" s="10">
        <v>101</v>
      </c>
      <c r="D49" s="9" t="s">
        <v>47</v>
      </c>
      <c r="E49" s="7">
        <v>3</v>
      </c>
      <c r="F49" s="9" t="s">
        <v>6</v>
      </c>
    </row>
    <row r="50" spans="1:20" x14ac:dyDescent="0.25">
      <c r="B50" s="9" t="s">
        <v>46</v>
      </c>
      <c r="C50" s="10">
        <v>102</v>
      </c>
      <c r="D50" s="9" t="s">
        <v>48</v>
      </c>
      <c r="E50" s="7">
        <v>3</v>
      </c>
      <c r="F50" s="9" t="s">
        <v>6</v>
      </c>
    </row>
    <row r="51" spans="1:20" x14ac:dyDescent="0.25">
      <c r="B51" s="2"/>
      <c r="C51" s="4"/>
      <c r="D51" s="2"/>
      <c r="F51" s="2"/>
      <c r="H51" s="6"/>
      <c r="K51" s="2"/>
    </row>
    <row r="52" spans="1:20" x14ac:dyDescent="0.25">
      <c r="A52" s="6" t="s">
        <v>49</v>
      </c>
      <c r="B52" s="2"/>
      <c r="C52" s="4"/>
      <c r="E52" s="7"/>
      <c r="F52" s="2"/>
      <c r="G52" s="6">
        <f>SUM(E53:E56)</f>
        <v>12</v>
      </c>
      <c r="H52" s="6" t="s">
        <v>6</v>
      </c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 x14ac:dyDescent="0.25">
      <c r="B53" s="9" t="s">
        <v>25</v>
      </c>
      <c r="C53" s="10">
        <v>306</v>
      </c>
      <c r="D53" s="9" t="s">
        <v>50</v>
      </c>
      <c r="E53" s="7">
        <v>3</v>
      </c>
      <c r="F53" s="1" t="s">
        <v>6</v>
      </c>
    </row>
    <row r="54" spans="1:20" x14ac:dyDescent="0.25">
      <c r="B54" s="9" t="s">
        <v>25</v>
      </c>
      <c r="C54" s="10">
        <v>402</v>
      </c>
      <c r="D54" s="9" t="s">
        <v>51</v>
      </c>
      <c r="E54" s="7">
        <v>3</v>
      </c>
      <c r="F54" s="1" t="s">
        <v>6</v>
      </c>
    </row>
    <row r="55" spans="1:20" x14ac:dyDescent="0.25">
      <c r="B55" s="9" t="s">
        <v>25</v>
      </c>
      <c r="C55" s="10">
        <v>302</v>
      </c>
      <c r="D55" s="9" t="s">
        <v>52</v>
      </c>
      <c r="E55" s="2">
        <v>3</v>
      </c>
      <c r="F55" s="1" t="s">
        <v>6</v>
      </c>
    </row>
    <row r="56" spans="1:20" x14ac:dyDescent="0.25">
      <c r="B56" s="9" t="s">
        <v>25</v>
      </c>
      <c r="C56" s="10">
        <v>202</v>
      </c>
      <c r="D56" s="9" t="s">
        <v>53</v>
      </c>
      <c r="E56" s="2">
        <v>3</v>
      </c>
      <c r="F56" s="1" t="s">
        <v>6</v>
      </c>
    </row>
    <row r="57" spans="1:20" x14ac:dyDescent="0.25">
      <c r="E57" s="7"/>
    </row>
    <row r="58" spans="1:20" s="11" customFormat="1" x14ac:dyDescent="0.25">
      <c r="A58" s="12" t="s">
        <v>54</v>
      </c>
      <c r="G58" s="12">
        <f>SUM(E59:E63)</f>
        <v>15</v>
      </c>
      <c r="H58" s="6" t="s">
        <v>6</v>
      </c>
    </row>
    <row r="59" spans="1:20" s="11" customFormat="1" x14ac:dyDescent="0.25">
      <c r="A59" s="11" t="s">
        <v>55</v>
      </c>
      <c r="D59" s="11" t="s">
        <v>56</v>
      </c>
      <c r="E59" s="11">
        <v>3</v>
      </c>
      <c r="F59" s="11" t="s">
        <v>6</v>
      </c>
    </row>
    <row r="60" spans="1:20" s="11" customFormat="1" x14ac:dyDescent="0.25">
      <c r="A60" s="11" t="s">
        <v>57</v>
      </c>
      <c r="D60" s="11" t="s">
        <v>58</v>
      </c>
      <c r="E60" s="11">
        <v>3</v>
      </c>
      <c r="F60" s="11" t="s">
        <v>6</v>
      </c>
    </row>
    <row r="61" spans="1:20" s="11" customFormat="1" x14ac:dyDescent="0.25">
      <c r="A61" s="11" t="s">
        <v>59</v>
      </c>
      <c r="D61" s="11" t="s">
        <v>60</v>
      </c>
      <c r="E61" s="11">
        <v>3</v>
      </c>
      <c r="F61" s="11" t="s">
        <v>6</v>
      </c>
    </row>
    <row r="62" spans="1:20" s="11" customFormat="1" x14ac:dyDescent="0.25">
      <c r="A62" s="11" t="s">
        <v>61</v>
      </c>
      <c r="D62" s="11" t="s">
        <v>62</v>
      </c>
      <c r="E62" s="11">
        <v>3</v>
      </c>
      <c r="F62" s="11" t="s">
        <v>6</v>
      </c>
    </row>
    <row r="63" spans="1:20" s="11" customFormat="1" x14ac:dyDescent="0.25">
      <c r="A63" s="11" t="s">
        <v>63</v>
      </c>
      <c r="D63" s="11" t="s">
        <v>64</v>
      </c>
      <c r="E63" s="11">
        <v>3</v>
      </c>
      <c r="F63" s="11" t="s">
        <v>6</v>
      </c>
    </row>
    <row r="64" spans="1:20" s="11" customFormat="1" x14ac:dyDescent="0.25"/>
    <row r="65" spans="1:20" s="11" customFormat="1" x14ac:dyDescent="0.25">
      <c r="A65" s="6" t="s">
        <v>65</v>
      </c>
      <c r="G65" s="12">
        <f>SUM(E66)</f>
        <v>3</v>
      </c>
      <c r="H65" s="6" t="s">
        <v>6</v>
      </c>
    </row>
    <row r="66" spans="1:20" s="11" customFormat="1" x14ac:dyDescent="0.25">
      <c r="B66" s="11" t="s">
        <v>66</v>
      </c>
      <c r="C66" s="11">
        <v>1</v>
      </c>
      <c r="D66" s="11" t="s">
        <v>67</v>
      </c>
      <c r="E66" s="11">
        <v>3</v>
      </c>
      <c r="F66" s="11" t="s">
        <v>6</v>
      </c>
    </row>
    <row r="67" spans="1:20" s="11" customFormat="1" x14ac:dyDescent="0.25"/>
    <row r="68" spans="1:20" x14ac:dyDescent="0.25">
      <c r="A68" s="6" t="s">
        <v>68</v>
      </c>
      <c r="B68" s="2"/>
      <c r="C68" s="4"/>
      <c r="D68" s="2"/>
      <c r="F68" s="2"/>
      <c r="G68" s="6">
        <f>SUM(E69:E72)</f>
        <v>8</v>
      </c>
      <c r="H68" s="6" t="s">
        <v>6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 x14ac:dyDescent="0.25">
      <c r="B69" s="2"/>
      <c r="C69" s="4"/>
      <c r="D69" s="2" t="s">
        <v>69</v>
      </c>
      <c r="E69" s="2">
        <v>2</v>
      </c>
      <c r="F69" s="2" t="s">
        <v>6</v>
      </c>
      <c r="H69" s="6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 x14ac:dyDescent="0.25">
      <c r="B70" s="2"/>
      <c r="C70" s="4"/>
      <c r="D70" s="2" t="s">
        <v>70</v>
      </c>
      <c r="E70" s="2">
        <v>2</v>
      </c>
      <c r="F70" s="2" t="s">
        <v>6</v>
      </c>
      <c r="H70" s="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 x14ac:dyDescent="0.25">
      <c r="B71" s="2"/>
      <c r="C71" s="4"/>
      <c r="D71" s="2" t="s">
        <v>71</v>
      </c>
      <c r="E71" s="2">
        <v>2</v>
      </c>
      <c r="F71" s="2" t="s">
        <v>6</v>
      </c>
      <c r="H71" s="6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 x14ac:dyDescent="0.25">
      <c r="B72" s="2"/>
      <c r="C72" s="4"/>
      <c r="D72" s="2" t="s">
        <v>72</v>
      </c>
      <c r="E72" s="2">
        <v>2</v>
      </c>
      <c r="F72" s="2" t="s">
        <v>6</v>
      </c>
      <c r="H72" s="6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 x14ac:dyDescent="0.25">
      <c r="B73" s="2"/>
      <c r="C73" s="4"/>
      <c r="D73" s="2"/>
      <c r="F73" s="2"/>
      <c r="H73" s="6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 x14ac:dyDescent="0.25">
      <c r="A74" s="6" t="s">
        <v>73</v>
      </c>
      <c r="B74" s="2"/>
      <c r="C74" s="4"/>
      <c r="D74" s="2"/>
      <c r="F74" s="2"/>
      <c r="G74" s="6">
        <f>E75+E76</f>
        <v>6</v>
      </c>
      <c r="H74" s="6" t="s">
        <v>6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 x14ac:dyDescent="0.25">
      <c r="B75" s="2"/>
      <c r="C75" s="4"/>
      <c r="D75" s="2" t="s">
        <v>74</v>
      </c>
      <c r="E75" s="2">
        <v>3</v>
      </c>
      <c r="F75" s="2" t="s">
        <v>6</v>
      </c>
      <c r="H75" s="6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 x14ac:dyDescent="0.25">
      <c r="B76" s="2"/>
      <c r="C76" s="4"/>
      <c r="D76" s="2" t="s">
        <v>75</v>
      </c>
      <c r="E76" s="2">
        <v>3</v>
      </c>
      <c r="F76" s="2" t="s">
        <v>6</v>
      </c>
      <c r="H76" s="6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 x14ac:dyDescent="0.25">
      <c r="B77" s="2"/>
      <c r="C77" s="4"/>
      <c r="D77" s="2"/>
      <c r="F77" s="2"/>
      <c r="H77" s="6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 x14ac:dyDescent="0.25">
      <c r="A78" s="6" t="s">
        <v>76</v>
      </c>
      <c r="B78" s="2"/>
      <c r="E78" s="7"/>
      <c r="F78" s="2"/>
      <c r="G78" s="6">
        <f>SUM(E79:E84)</f>
        <v>18</v>
      </c>
      <c r="H78" s="6" t="s">
        <v>6</v>
      </c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 x14ac:dyDescent="0.25">
      <c r="B79" s="2" t="s">
        <v>77</v>
      </c>
      <c r="C79" s="4"/>
      <c r="D79" s="1" t="s">
        <v>78</v>
      </c>
      <c r="E79" s="7">
        <v>3</v>
      </c>
      <c r="F79" s="2" t="s">
        <v>6</v>
      </c>
      <c r="H79" s="6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 x14ac:dyDescent="0.25">
      <c r="B80" s="2" t="s">
        <v>79</v>
      </c>
      <c r="C80" s="4"/>
      <c r="D80" s="1" t="s">
        <v>80</v>
      </c>
      <c r="E80" s="7">
        <v>3</v>
      </c>
      <c r="F80" s="2" t="s">
        <v>6</v>
      </c>
      <c r="H80" s="6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 x14ac:dyDescent="0.25">
      <c r="B81" s="2" t="s">
        <v>81</v>
      </c>
      <c r="C81" s="4"/>
      <c r="D81" s="1" t="s">
        <v>82</v>
      </c>
      <c r="E81" s="7">
        <v>3</v>
      </c>
      <c r="F81" s="2" t="s">
        <v>6</v>
      </c>
      <c r="H81" s="6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 x14ac:dyDescent="0.25">
      <c r="B82" s="2" t="s">
        <v>83</v>
      </c>
      <c r="C82" s="4"/>
      <c r="D82" s="1" t="s">
        <v>84</v>
      </c>
      <c r="E82" s="7">
        <v>3</v>
      </c>
      <c r="F82" s="2" t="s">
        <v>6</v>
      </c>
      <c r="H82" s="6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 x14ac:dyDescent="0.25">
      <c r="B83" s="2" t="s">
        <v>85</v>
      </c>
      <c r="C83" s="4"/>
      <c r="D83" s="1" t="s">
        <v>86</v>
      </c>
      <c r="E83" s="7">
        <v>3</v>
      </c>
      <c r="F83" s="2" t="s">
        <v>6</v>
      </c>
      <c r="H83" s="6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 x14ac:dyDescent="0.25">
      <c r="B84" s="2" t="s">
        <v>87</v>
      </c>
      <c r="C84" s="4"/>
      <c r="D84" s="1" t="s">
        <v>88</v>
      </c>
      <c r="E84" s="7">
        <v>3</v>
      </c>
      <c r="F84" s="2" t="s">
        <v>6</v>
      </c>
      <c r="H84" s="6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 x14ac:dyDescent="0.25">
      <c r="B85" s="2"/>
      <c r="C85" s="4"/>
      <c r="E85" s="7"/>
      <c r="F85" s="2"/>
      <c r="H85" s="6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 s="8" customFormat="1" x14ac:dyDescent="0.25">
      <c r="A86" s="6"/>
      <c r="B86" s="6" t="s">
        <v>89</v>
      </c>
      <c r="C86" s="13"/>
      <c r="D86" s="6"/>
      <c r="E86" s="6"/>
      <c r="F86" s="123">
        <f>SUM(G10:G85)</f>
        <v>170</v>
      </c>
      <c r="G86" s="123"/>
      <c r="H86" s="6" t="s">
        <v>6</v>
      </c>
      <c r="J86" s="6"/>
    </row>
    <row r="87" spans="1:20" x14ac:dyDescent="0.25">
      <c r="H87" s="124"/>
      <c r="I87" s="124"/>
    </row>
    <row r="113" spans="1:9" ht="18.75" x14ac:dyDescent="0.3">
      <c r="A113" s="125" t="s">
        <v>1</v>
      </c>
      <c r="B113" s="125"/>
      <c r="C113" s="125"/>
      <c r="D113" s="125"/>
      <c r="E113" s="125"/>
      <c r="F113" s="125"/>
      <c r="G113" s="125"/>
      <c r="H113" s="125"/>
      <c r="I113" s="125"/>
    </row>
    <row r="114" spans="1:9" x14ac:dyDescent="0.25">
      <c r="A114" s="122" t="s">
        <v>90</v>
      </c>
      <c r="B114" s="122"/>
      <c r="C114" s="122"/>
      <c r="D114" s="122"/>
      <c r="E114" s="122"/>
      <c r="F114" s="122"/>
      <c r="G114" s="122"/>
      <c r="H114" s="122"/>
      <c r="I114" s="2"/>
    </row>
    <row r="115" spans="1:9" x14ac:dyDescent="0.25">
      <c r="A115" s="122" t="s">
        <v>91</v>
      </c>
      <c r="B115" s="122"/>
      <c r="C115" s="122"/>
      <c r="D115" s="122"/>
      <c r="E115" s="122"/>
      <c r="F115" s="122"/>
      <c r="G115" s="122"/>
      <c r="H115" s="122"/>
      <c r="I115" s="2"/>
    </row>
    <row r="116" spans="1:9" x14ac:dyDescent="0.25">
      <c r="A116" s="122" t="s">
        <v>92</v>
      </c>
      <c r="B116" s="122"/>
      <c r="C116" s="122"/>
      <c r="D116" s="122"/>
      <c r="E116" s="122"/>
      <c r="F116" s="122"/>
      <c r="G116" s="122"/>
      <c r="H116" s="122"/>
      <c r="I116" s="2"/>
    </row>
    <row r="117" spans="1:9" x14ac:dyDescent="0.25">
      <c r="A117" s="3"/>
      <c r="B117" s="3"/>
      <c r="C117" s="4"/>
      <c r="D117" s="3"/>
      <c r="E117" s="3"/>
      <c r="F117" s="3"/>
      <c r="G117" s="7"/>
      <c r="H117" s="7"/>
      <c r="I117" s="2"/>
    </row>
    <row r="118" spans="1:9" x14ac:dyDescent="0.25">
      <c r="A118" s="121" t="s">
        <v>4</v>
      </c>
      <c r="B118" s="121"/>
      <c r="C118" s="121"/>
      <c r="D118" s="121"/>
      <c r="E118" s="121"/>
      <c r="F118" s="121"/>
      <c r="G118" s="121"/>
      <c r="H118" s="121"/>
      <c r="I118" s="2"/>
    </row>
    <row r="119" spans="1:9" x14ac:dyDescent="0.25">
      <c r="A119" s="122"/>
      <c r="B119" s="122"/>
      <c r="C119" s="122"/>
      <c r="D119" s="122"/>
      <c r="E119" s="122"/>
      <c r="F119" s="122"/>
      <c r="G119" s="122"/>
      <c r="H119" s="122"/>
      <c r="I119" s="2"/>
    </row>
    <row r="120" spans="1:9" x14ac:dyDescent="0.25">
      <c r="A120" s="6" t="s">
        <v>5</v>
      </c>
      <c r="B120" s="6"/>
      <c r="C120" s="13"/>
      <c r="D120" s="6"/>
      <c r="E120" s="6"/>
      <c r="F120" s="6"/>
      <c r="G120" s="14">
        <f>SUM(E121:E129,E131:E133)</f>
        <v>36</v>
      </c>
      <c r="H120" s="14" t="s">
        <v>6</v>
      </c>
      <c r="I120" s="6"/>
    </row>
    <row r="121" spans="1:9" x14ac:dyDescent="0.25">
      <c r="A121" s="2"/>
      <c r="B121" s="2" t="s">
        <v>93</v>
      </c>
      <c r="C121" s="4"/>
      <c r="D121" s="2" t="s">
        <v>8</v>
      </c>
      <c r="E121" s="7">
        <v>3</v>
      </c>
      <c r="F121" s="2" t="s">
        <v>6</v>
      </c>
      <c r="G121" s="7"/>
      <c r="H121" s="7"/>
      <c r="I121" s="2"/>
    </row>
    <row r="122" spans="1:9" x14ac:dyDescent="0.25">
      <c r="A122" s="2"/>
      <c r="B122" s="2" t="s">
        <v>94</v>
      </c>
      <c r="C122" s="4"/>
      <c r="D122" s="2" t="s">
        <v>9</v>
      </c>
      <c r="E122" s="7">
        <v>3</v>
      </c>
      <c r="F122" s="2" t="s">
        <v>6</v>
      </c>
      <c r="G122" s="7"/>
      <c r="H122" s="7"/>
      <c r="I122" s="2"/>
    </row>
    <row r="123" spans="1:9" x14ac:dyDescent="0.25">
      <c r="A123" s="2"/>
      <c r="B123" s="2" t="s">
        <v>95</v>
      </c>
      <c r="C123" s="4"/>
      <c r="D123" s="2" t="s">
        <v>10</v>
      </c>
      <c r="E123" s="7">
        <v>3</v>
      </c>
      <c r="F123" s="2" t="s">
        <v>6</v>
      </c>
      <c r="G123" s="7"/>
      <c r="H123" s="7"/>
      <c r="I123" s="2"/>
    </row>
    <row r="124" spans="1:9" x14ac:dyDescent="0.25">
      <c r="A124" s="2"/>
      <c r="B124" s="2" t="s">
        <v>96</v>
      </c>
      <c r="C124" s="4"/>
      <c r="D124" s="2" t="s">
        <v>11</v>
      </c>
      <c r="E124" s="7">
        <v>3</v>
      </c>
      <c r="F124" s="2" t="s">
        <v>6</v>
      </c>
      <c r="G124" s="7"/>
      <c r="H124" s="7"/>
      <c r="I124" s="2"/>
    </row>
    <row r="125" spans="1:9" x14ac:dyDescent="0.25">
      <c r="A125" s="2"/>
      <c r="B125" s="2" t="s">
        <v>97</v>
      </c>
      <c r="C125" s="4"/>
      <c r="D125" s="2" t="s">
        <v>12</v>
      </c>
      <c r="E125" s="7">
        <v>3</v>
      </c>
      <c r="F125" s="2" t="s">
        <v>6</v>
      </c>
      <c r="G125" s="7"/>
      <c r="H125" s="7"/>
      <c r="I125" s="2"/>
    </row>
    <row r="126" spans="1:9" x14ac:dyDescent="0.25">
      <c r="A126" s="2"/>
      <c r="B126" s="2" t="s">
        <v>98</v>
      </c>
      <c r="C126" s="4"/>
      <c r="D126" s="2" t="s">
        <v>13</v>
      </c>
      <c r="E126" s="7">
        <v>3</v>
      </c>
      <c r="F126" s="2" t="s">
        <v>6</v>
      </c>
      <c r="G126" s="7"/>
      <c r="H126" s="7"/>
      <c r="I126" s="2"/>
    </row>
    <row r="127" spans="1:9" x14ac:dyDescent="0.25">
      <c r="A127" s="2"/>
      <c r="B127" s="2" t="s">
        <v>99</v>
      </c>
      <c r="C127" s="4"/>
      <c r="D127" s="2" t="s">
        <v>14</v>
      </c>
      <c r="E127" s="7">
        <v>3</v>
      </c>
      <c r="F127" s="2" t="s">
        <v>6</v>
      </c>
      <c r="G127" s="7"/>
      <c r="H127" s="7"/>
      <c r="I127" s="2"/>
    </row>
    <row r="128" spans="1:9" x14ac:dyDescent="0.25">
      <c r="A128" s="2"/>
      <c r="B128" s="2" t="s">
        <v>100</v>
      </c>
      <c r="C128" s="4"/>
      <c r="D128" s="2" t="s">
        <v>15</v>
      </c>
      <c r="E128" s="7">
        <v>3</v>
      </c>
      <c r="F128" s="2" t="s">
        <v>6</v>
      </c>
      <c r="G128" s="7"/>
      <c r="H128" s="7"/>
      <c r="I128" s="2"/>
    </row>
    <row r="129" spans="1:9" x14ac:dyDescent="0.25">
      <c r="A129" s="2"/>
      <c r="B129" s="2" t="s">
        <v>101</v>
      </c>
      <c r="C129" s="4"/>
      <c r="D129" s="2" t="s">
        <v>16</v>
      </c>
      <c r="E129" s="7">
        <v>3</v>
      </c>
      <c r="F129" s="2" t="s">
        <v>6</v>
      </c>
      <c r="G129" s="7"/>
      <c r="H129" s="7"/>
      <c r="I129" s="2"/>
    </row>
    <row r="130" spans="1:9" x14ac:dyDescent="0.25">
      <c r="A130" s="2"/>
      <c r="B130" s="2"/>
      <c r="C130" s="4" t="s">
        <v>17</v>
      </c>
      <c r="D130" s="2"/>
      <c r="E130" s="7"/>
      <c r="F130" s="2"/>
      <c r="G130" s="7"/>
      <c r="H130" s="7"/>
      <c r="I130" s="2"/>
    </row>
    <row r="131" spans="1:9" x14ac:dyDescent="0.25">
      <c r="A131" s="2"/>
      <c r="B131" s="2" t="s">
        <v>19</v>
      </c>
      <c r="C131" s="4"/>
      <c r="D131" s="2" t="s">
        <v>20</v>
      </c>
      <c r="E131" s="7">
        <v>3</v>
      </c>
      <c r="F131" s="2" t="s">
        <v>6</v>
      </c>
      <c r="G131" s="7"/>
      <c r="H131" s="7"/>
      <c r="I131" s="2"/>
    </row>
    <row r="132" spans="1:9" x14ac:dyDescent="0.25">
      <c r="A132" s="2"/>
      <c r="B132" s="2" t="s">
        <v>21</v>
      </c>
      <c r="C132" s="4"/>
      <c r="D132" s="2" t="s">
        <v>22</v>
      </c>
      <c r="E132" s="7">
        <v>3</v>
      </c>
      <c r="F132" s="2" t="s">
        <v>6</v>
      </c>
      <c r="G132" s="7"/>
      <c r="H132" s="7"/>
      <c r="I132" s="2"/>
    </row>
    <row r="133" spans="1:9" x14ac:dyDescent="0.25">
      <c r="A133" s="2"/>
      <c r="B133" s="2" t="s">
        <v>102</v>
      </c>
      <c r="C133" s="4"/>
      <c r="D133" s="2" t="s">
        <v>103</v>
      </c>
      <c r="E133" s="7">
        <v>3</v>
      </c>
      <c r="F133" s="2" t="s">
        <v>6</v>
      </c>
      <c r="G133" s="7"/>
      <c r="H133" s="7"/>
      <c r="I133" s="2"/>
    </row>
    <row r="134" spans="1:9" x14ac:dyDescent="0.25">
      <c r="A134" s="2"/>
      <c r="B134" s="2"/>
      <c r="C134" s="4"/>
      <c r="D134" s="2"/>
      <c r="E134" s="7"/>
      <c r="F134" s="2"/>
      <c r="G134" s="7"/>
      <c r="H134" s="7"/>
      <c r="I134" s="2"/>
    </row>
    <row r="135" spans="1:9" x14ac:dyDescent="0.25">
      <c r="A135" s="6" t="s">
        <v>24</v>
      </c>
      <c r="B135" s="6"/>
      <c r="C135" s="13"/>
      <c r="D135" s="6"/>
      <c r="E135" s="6"/>
      <c r="F135" s="6"/>
      <c r="G135" s="14">
        <v>6</v>
      </c>
      <c r="H135" s="14" t="s">
        <v>6</v>
      </c>
      <c r="I135" s="6"/>
    </row>
    <row r="136" spans="1:9" x14ac:dyDescent="0.25">
      <c r="A136" s="2"/>
      <c r="B136" s="2" t="s">
        <v>104</v>
      </c>
      <c r="C136" s="4"/>
      <c r="D136" s="2" t="s">
        <v>105</v>
      </c>
      <c r="E136" s="2">
        <v>3</v>
      </c>
      <c r="F136" s="2" t="s">
        <v>6</v>
      </c>
      <c r="G136" s="7"/>
      <c r="H136" s="7"/>
      <c r="I136" s="2"/>
    </row>
    <row r="137" spans="1:9" x14ac:dyDescent="0.25">
      <c r="A137" s="2"/>
      <c r="B137" s="2" t="s">
        <v>106</v>
      </c>
      <c r="C137" s="4"/>
      <c r="D137" s="2" t="s">
        <v>107</v>
      </c>
      <c r="E137" s="2">
        <v>3</v>
      </c>
      <c r="F137" s="2" t="s">
        <v>6</v>
      </c>
      <c r="G137" s="7"/>
      <c r="H137" s="7"/>
      <c r="I137" s="2"/>
    </row>
    <row r="138" spans="1:9" x14ac:dyDescent="0.25">
      <c r="A138" s="2"/>
      <c r="B138" s="2"/>
      <c r="C138" s="4"/>
      <c r="D138" s="2"/>
      <c r="F138" s="2"/>
      <c r="G138" s="7"/>
      <c r="H138" s="7"/>
      <c r="I138" s="2"/>
    </row>
    <row r="139" spans="1:9" x14ac:dyDescent="0.25">
      <c r="A139" s="6" t="s">
        <v>108</v>
      </c>
      <c r="B139" s="6"/>
      <c r="C139" s="13"/>
      <c r="D139" s="6"/>
      <c r="E139" s="6"/>
      <c r="F139" s="6"/>
      <c r="G139" s="14">
        <f>SUM(E140:E159)</f>
        <v>60</v>
      </c>
      <c r="H139" s="14" t="s">
        <v>6</v>
      </c>
      <c r="I139" s="6"/>
    </row>
    <row r="140" spans="1:9" x14ac:dyDescent="0.25">
      <c r="A140" s="2"/>
      <c r="B140" s="2" t="s">
        <v>109</v>
      </c>
      <c r="C140" s="4"/>
      <c r="D140" s="2" t="s">
        <v>110</v>
      </c>
      <c r="E140" s="2">
        <v>3</v>
      </c>
      <c r="F140" s="2" t="s">
        <v>6</v>
      </c>
      <c r="G140" s="7"/>
      <c r="H140" s="7"/>
      <c r="I140" s="2"/>
    </row>
    <row r="141" spans="1:9" x14ac:dyDescent="0.25">
      <c r="A141" s="2"/>
      <c r="B141" s="2" t="s">
        <v>111</v>
      </c>
      <c r="C141" s="4"/>
      <c r="D141" s="2" t="s">
        <v>112</v>
      </c>
      <c r="E141" s="2">
        <v>3</v>
      </c>
      <c r="F141" s="2" t="s">
        <v>6</v>
      </c>
      <c r="G141" s="7"/>
      <c r="H141" s="7"/>
      <c r="I141" s="2"/>
    </row>
    <row r="142" spans="1:9" x14ac:dyDescent="0.25">
      <c r="A142" s="2"/>
      <c r="B142" s="2" t="s">
        <v>113</v>
      </c>
      <c r="C142" s="4"/>
      <c r="D142" s="15" t="s">
        <v>114</v>
      </c>
      <c r="E142" s="16">
        <v>3</v>
      </c>
      <c r="F142" s="2" t="s">
        <v>6</v>
      </c>
      <c r="G142" s="7"/>
      <c r="H142" s="7"/>
      <c r="I142" s="2"/>
    </row>
    <row r="143" spans="1:9" x14ac:dyDescent="0.25">
      <c r="A143" s="2"/>
      <c r="B143" s="2" t="s">
        <v>115</v>
      </c>
      <c r="C143" s="4"/>
      <c r="D143" s="2" t="s">
        <v>116</v>
      </c>
      <c r="E143" s="16">
        <v>3</v>
      </c>
      <c r="F143" s="2" t="s">
        <v>6</v>
      </c>
      <c r="G143" s="7"/>
      <c r="H143" s="7"/>
      <c r="I143" s="2"/>
    </row>
    <row r="144" spans="1:9" x14ac:dyDescent="0.25">
      <c r="A144" s="2"/>
      <c r="B144" s="2" t="s">
        <v>117</v>
      </c>
      <c r="C144" s="4"/>
      <c r="D144" s="15" t="s">
        <v>118</v>
      </c>
      <c r="E144" s="16">
        <v>3</v>
      </c>
      <c r="F144" s="2" t="s">
        <v>6</v>
      </c>
      <c r="G144" s="7"/>
      <c r="H144" s="7"/>
      <c r="I144" s="2"/>
    </row>
    <row r="145" spans="1:9" x14ac:dyDescent="0.25">
      <c r="A145" s="2"/>
      <c r="B145" s="2" t="s">
        <v>119</v>
      </c>
      <c r="C145" s="4"/>
      <c r="D145" s="2" t="s">
        <v>120</v>
      </c>
      <c r="E145" s="2">
        <v>3</v>
      </c>
      <c r="F145" s="2" t="s">
        <v>6</v>
      </c>
      <c r="G145" s="7"/>
      <c r="H145" s="7"/>
      <c r="I145" s="2"/>
    </row>
    <row r="146" spans="1:9" x14ac:dyDescent="0.25">
      <c r="A146" s="2"/>
      <c r="B146" s="2" t="s">
        <v>121</v>
      </c>
      <c r="C146" s="4"/>
      <c r="D146" s="2" t="s">
        <v>122</v>
      </c>
      <c r="E146" s="2">
        <v>3</v>
      </c>
      <c r="F146" s="2" t="s">
        <v>6</v>
      </c>
      <c r="G146" s="17"/>
      <c r="H146" s="7"/>
      <c r="I146" s="2"/>
    </row>
    <row r="147" spans="1:9" x14ac:dyDescent="0.25">
      <c r="A147" s="2"/>
      <c r="B147" s="2" t="s">
        <v>123</v>
      </c>
      <c r="C147" s="4"/>
      <c r="D147" s="15" t="s">
        <v>124</v>
      </c>
      <c r="E147" s="2">
        <v>3</v>
      </c>
      <c r="F147" s="2" t="s">
        <v>6</v>
      </c>
      <c r="G147" s="7"/>
      <c r="H147" s="7"/>
      <c r="I147" s="2"/>
    </row>
    <row r="148" spans="1:9" x14ac:dyDescent="0.25">
      <c r="A148" s="2"/>
      <c r="B148" s="2" t="s">
        <v>125</v>
      </c>
      <c r="C148" s="4"/>
      <c r="D148" s="2" t="s">
        <v>126</v>
      </c>
      <c r="E148" s="2">
        <v>3</v>
      </c>
      <c r="F148" s="2" t="s">
        <v>6</v>
      </c>
      <c r="G148" s="7"/>
      <c r="H148" s="7"/>
      <c r="I148" s="2"/>
    </row>
    <row r="149" spans="1:9" x14ac:dyDescent="0.25">
      <c r="A149" s="2"/>
      <c r="B149" s="2" t="s">
        <v>127</v>
      </c>
      <c r="C149" s="4"/>
      <c r="D149" s="2" t="s">
        <v>128</v>
      </c>
      <c r="E149" s="16">
        <v>3</v>
      </c>
      <c r="F149" s="2" t="s">
        <v>6</v>
      </c>
      <c r="G149" s="7"/>
      <c r="H149" s="7"/>
      <c r="I149" s="2"/>
    </row>
    <row r="150" spans="1:9" x14ac:dyDescent="0.25">
      <c r="A150" s="2"/>
      <c r="B150" s="2" t="s">
        <v>129</v>
      </c>
      <c r="C150" s="4"/>
      <c r="D150" s="2" t="s">
        <v>130</v>
      </c>
      <c r="E150" s="16">
        <v>3</v>
      </c>
      <c r="F150" s="2" t="s">
        <v>6</v>
      </c>
      <c r="G150" s="7"/>
      <c r="H150" s="7"/>
      <c r="I150" s="2"/>
    </row>
    <row r="151" spans="1:9" x14ac:dyDescent="0.25">
      <c r="A151" s="2"/>
      <c r="B151" s="2" t="s">
        <v>131</v>
      </c>
      <c r="C151" s="4"/>
      <c r="D151" s="2" t="s">
        <v>132</v>
      </c>
      <c r="E151" s="16">
        <v>3</v>
      </c>
      <c r="F151" s="2" t="s">
        <v>6</v>
      </c>
      <c r="G151" s="7"/>
      <c r="H151" s="7"/>
      <c r="I151" s="2"/>
    </row>
    <row r="152" spans="1:9" x14ac:dyDescent="0.25">
      <c r="A152" s="2"/>
      <c r="B152" s="2" t="s">
        <v>133</v>
      </c>
      <c r="C152" s="4"/>
      <c r="D152" s="2" t="s">
        <v>134</v>
      </c>
      <c r="E152" s="2">
        <v>3</v>
      </c>
      <c r="F152" s="2" t="s">
        <v>6</v>
      </c>
      <c r="G152" s="7"/>
      <c r="H152" s="7"/>
      <c r="I152" s="2"/>
    </row>
    <row r="153" spans="1:9" x14ac:dyDescent="0.25">
      <c r="A153" s="2"/>
      <c r="B153" s="2" t="s">
        <v>135</v>
      </c>
      <c r="C153" s="4"/>
      <c r="D153" s="2" t="s">
        <v>136</v>
      </c>
      <c r="E153" s="2">
        <v>3</v>
      </c>
      <c r="F153" s="2" t="s">
        <v>6</v>
      </c>
      <c r="G153" s="7"/>
      <c r="H153" s="7"/>
      <c r="I153" s="2"/>
    </row>
    <row r="154" spans="1:9" x14ac:dyDescent="0.25">
      <c r="A154" s="2"/>
      <c r="B154" s="2" t="s">
        <v>137</v>
      </c>
      <c r="C154" s="4"/>
      <c r="D154" s="2" t="s">
        <v>138</v>
      </c>
      <c r="E154" s="2">
        <v>3</v>
      </c>
      <c r="F154" s="2" t="s">
        <v>6</v>
      </c>
      <c r="G154" s="7"/>
      <c r="H154" s="7"/>
      <c r="I154" s="2"/>
    </row>
    <row r="155" spans="1:9" x14ac:dyDescent="0.25">
      <c r="A155" s="2"/>
      <c r="B155" s="2" t="s">
        <v>139</v>
      </c>
      <c r="C155" s="4"/>
      <c r="D155" s="2" t="s">
        <v>140</v>
      </c>
      <c r="E155" s="2">
        <v>3</v>
      </c>
      <c r="F155" s="2" t="s">
        <v>6</v>
      </c>
      <c r="G155" s="7"/>
      <c r="H155" s="7"/>
      <c r="I155" s="2"/>
    </row>
    <row r="156" spans="1:9" x14ac:dyDescent="0.25">
      <c r="A156" s="2"/>
      <c r="B156" s="2" t="s">
        <v>141</v>
      </c>
      <c r="C156" s="4"/>
      <c r="D156" s="2" t="s">
        <v>142</v>
      </c>
      <c r="E156" s="16">
        <v>3</v>
      </c>
      <c r="F156" s="2" t="s">
        <v>6</v>
      </c>
      <c r="G156" s="7"/>
      <c r="H156" s="7"/>
      <c r="I156" s="2"/>
    </row>
    <row r="157" spans="1:9" x14ac:dyDescent="0.25">
      <c r="A157" s="2"/>
      <c r="B157" s="2" t="s">
        <v>143</v>
      </c>
      <c r="C157" s="4"/>
      <c r="D157" s="2" t="s">
        <v>144</v>
      </c>
      <c r="E157" s="16">
        <v>3</v>
      </c>
      <c r="F157" s="2" t="s">
        <v>6</v>
      </c>
      <c r="G157" s="7"/>
      <c r="H157" s="7"/>
      <c r="I157" s="2"/>
    </row>
    <row r="158" spans="1:9" x14ac:dyDescent="0.25">
      <c r="A158" s="2"/>
      <c r="B158" s="2" t="s">
        <v>145</v>
      </c>
      <c r="C158" s="4"/>
      <c r="D158" s="2" t="s">
        <v>146</v>
      </c>
      <c r="E158" s="16">
        <v>3</v>
      </c>
      <c r="F158" s="2" t="s">
        <v>6</v>
      </c>
      <c r="G158" s="7"/>
      <c r="H158" s="7"/>
      <c r="I158" s="2"/>
    </row>
    <row r="159" spans="1:9" x14ac:dyDescent="0.25">
      <c r="A159" s="2"/>
      <c r="B159" s="2" t="s">
        <v>147</v>
      </c>
      <c r="C159" s="4"/>
      <c r="D159" s="2" t="s">
        <v>148</v>
      </c>
      <c r="E159" s="2">
        <v>3</v>
      </c>
      <c r="F159" s="2" t="s">
        <v>6</v>
      </c>
      <c r="G159" s="7"/>
      <c r="H159" s="7"/>
      <c r="I159" s="2"/>
    </row>
    <row r="160" spans="1:9" x14ac:dyDescent="0.25">
      <c r="A160" s="2"/>
      <c r="B160" s="2"/>
      <c r="C160" s="4"/>
      <c r="D160" s="2"/>
      <c r="F160" s="2"/>
      <c r="G160" s="7"/>
      <c r="H160" s="7"/>
      <c r="I160" s="2"/>
    </row>
    <row r="161" spans="1:9" x14ac:dyDescent="0.25">
      <c r="A161" s="6" t="s">
        <v>149</v>
      </c>
      <c r="B161" s="6"/>
      <c r="C161" s="13"/>
      <c r="D161" s="6"/>
      <c r="E161" s="6"/>
      <c r="F161" s="6"/>
      <c r="G161" s="14">
        <v>6</v>
      </c>
      <c r="H161" s="14" t="s">
        <v>6</v>
      </c>
      <c r="I161" s="6"/>
    </row>
    <row r="162" spans="1:9" x14ac:dyDescent="0.25">
      <c r="A162" s="2"/>
      <c r="B162" s="2" t="s">
        <v>150</v>
      </c>
      <c r="C162" s="4"/>
      <c r="D162" s="2" t="s">
        <v>151</v>
      </c>
      <c r="E162" s="2">
        <v>6</v>
      </c>
      <c r="F162" s="2" t="s">
        <v>6</v>
      </c>
      <c r="G162" s="7"/>
      <c r="H162" s="7"/>
      <c r="I162" s="2"/>
    </row>
    <row r="163" spans="1:9" x14ac:dyDescent="0.25">
      <c r="A163" s="2"/>
      <c r="B163" s="2"/>
      <c r="C163" s="4"/>
      <c r="D163" s="2"/>
      <c r="F163" s="2"/>
      <c r="G163" s="7"/>
      <c r="H163" s="7"/>
      <c r="I163" s="2"/>
    </row>
    <row r="164" spans="1:9" x14ac:dyDescent="0.25">
      <c r="A164" s="2"/>
      <c r="B164" s="2"/>
      <c r="C164" s="4"/>
      <c r="D164" s="2"/>
      <c r="F164" s="2"/>
      <c r="G164" s="7"/>
      <c r="H164" s="7"/>
      <c r="I164" s="2"/>
    </row>
    <row r="165" spans="1:9" x14ac:dyDescent="0.25">
      <c r="A165" s="2"/>
      <c r="B165" s="2"/>
      <c r="C165" s="4"/>
      <c r="D165" s="2"/>
      <c r="F165" s="2"/>
      <c r="G165" s="7"/>
      <c r="H165" s="7"/>
      <c r="I165" s="2"/>
    </row>
    <row r="166" spans="1:9" x14ac:dyDescent="0.25">
      <c r="A166" s="2"/>
      <c r="B166" s="2"/>
      <c r="C166" s="4"/>
      <c r="D166" s="2"/>
      <c r="F166" s="2"/>
      <c r="G166" s="7"/>
      <c r="H166" s="7"/>
      <c r="I166" s="2"/>
    </row>
    <row r="167" spans="1:9" x14ac:dyDescent="0.25">
      <c r="A167" s="6" t="s">
        <v>152</v>
      </c>
      <c r="B167" s="6"/>
      <c r="C167" s="13"/>
      <c r="D167" s="6"/>
      <c r="E167" s="14"/>
      <c r="F167" s="6"/>
      <c r="G167" s="14">
        <f>SUM(E168:E171)</f>
        <v>12</v>
      </c>
      <c r="H167" s="14" t="s">
        <v>6</v>
      </c>
      <c r="I167" s="6"/>
    </row>
    <row r="168" spans="1:9" x14ac:dyDescent="0.25">
      <c r="A168" s="2"/>
      <c r="B168" s="2" t="s">
        <v>153</v>
      </c>
      <c r="C168" s="4"/>
      <c r="D168" s="2" t="s">
        <v>154</v>
      </c>
      <c r="E168" s="7">
        <v>3</v>
      </c>
      <c r="F168" s="2" t="s">
        <v>6</v>
      </c>
      <c r="G168" s="7"/>
      <c r="H168" s="7"/>
      <c r="I168" s="2"/>
    </row>
    <row r="169" spans="1:9" x14ac:dyDescent="0.25">
      <c r="A169" s="2"/>
      <c r="B169" s="2" t="s">
        <v>155</v>
      </c>
      <c r="C169" s="4"/>
      <c r="D169" s="2" t="s">
        <v>156</v>
      </c>
      <c r="E169" s="7">
        <v>3</v>
      </c>
      <c r="F169" s="2" t="s">
        <v>6</v>
      </c>
      <c r="G169" s="7"/>
      <c r="H169" s="7"/>
      <c r="I169" s="2"/>
    </row>
    <row r="170" spans="1:9" x14ac:dyDescent="0.25">
      <c r="A170" s="2"/>
      <c r="B170" s="2" t="s">
        <v>157</v>
      </c>
      <c r="C170" s="4"/>
      <c r="D170" s="2" t="s">
        <v>67</v>
      </c>
      <c r="E170" s="2">
        <v>3</v>
      </c>
      <c r="F170" s="2" t="s">
        <v>6</v>
      </c>
      <c r="G170" s="7"/>
      <c r="H170" s="7"/>
      <c r="I170" s="2"/>
    </row>
    <row r="171" spans="1:9" x14ac:dyDescent="0.25">
      <c r="A171" s="2"/>
      <c r="B171" s="2" t="s">
        <v>158</v>
      </c>
      <c r="C171" s="4"/>
      <c r="D171" s="2" t="s">
        <v>159</v>
      </c>
      <c r="E171" s="2">
        <v>3</v>
      </c>
      <c r="F171" s="2" t="s">
        <v>6</v>
      </c>
      <c r="G171" s="7"/>
      <c r="H171" s="7"/>
      <c r="I171" s="2"/>
    </row>
    <row r="172" spans="1:9" x14ac:dyDescent="0.25">
      <c r="A172" s="2"/>
      <c r="B172" s="2"/>
      <c r="C172" s="4"/>
      <c r="D172" s="2"/>
      <c r="E172" s="7"/>
      <c r="F172" s="2"/>
      <c r="G172" s="7"/>
      <c r="H172" s="7"/>
      <c r="I172" s="2"/>
    </row>
    <row r="173" spans="1:9" x14ac:dyDescent="0.25">
      <c r="A173" s="6" t="s">
        <v>68</v>
      </c>
      <c r="B173" s="6"/>
      <c r="C173" s="13"/>
      <c r="D173" s="6"/>
      <c r="E173" s="6"/>
      <c r="F173" s="6"/>
      <c r="G173" s="14">
        <f>SUM(E174:E177)</f>
        <v>8</v>
      </c>
      <c r="H173" s="14" t="s">
        <v>6</v>
      </c>
      <c r="I173" s="6"/>
    </row>
    <row r="174" spans="1:9" x14ac:dyDescent="0.25">
      <c r="A174" s="2"/>
      <c r="B174" s="2"/>
      <c r="C174" s="4"/>
      <c r="D174" s="2" t="s">
        <v>69</v>
      </c>
      <c r="E174" s="2">
        <v>2</v>
      </c>
      <c r="F174" s="2" t="s">
        <v>6</v>
      </c>
      <c r="G174" s="7"/>
      <c r="H174" s="7"/>
      <c r="I174" s="2"/>
    </row>
    <row r="175" spans="1:9" x14ac:dyDescent="0.25">
      <c r="A175" s="2"/>
      <c r="B175" s="2"/>
      <c r="C175" s="4"/>
      <c r="D175" s="2" t="s">
        <v>70</v>
      </c>
      <c r="E175" s="2">
        <v>2</v>
      </c>
      <c r="F175" s="2" t="s">
        <v>6</v>
      </c>
      <c r="G175" s="7"/>
      <c r="H175" s="7"/>
      <c r="I175" s="2"/>
    </row>
    <row r="176" spans="1:9" x14ac:dyDescent="0.25">
      <c r="A176" s="2"/>
      <c r="B176" s="2"/>
      <c r="C176" s="4"/>
      <c r="D176" s="2" t="s">
        <v>71</v>
      </c>
      <c r="E176" s="2">
        <v>2</v>
      </c>
      <c r="F176" s="2" t="s">
        <v>6</v>
      </c>
      <c r="G176" s="7"/>
      <c r="H176" s="7"/>
      <c r="I176" s="2"/>
    </row>
    <row r="177" spans="1:9" x14ac:dyDescent="0.25">
      <c r="A177" s="2"/>
      <c r="B177" s="2"/>
      <c r="C177" s="4"/>
      <c r="D177" s="2" t="s">
        <v>72</v>
      </c>
      <c r="E177" s="2">
        <v>2</v>
      </c>
      <c r="F177" s="2" t="s">
        <v>6</v>
      </c>
      <c r="G177" s="7"/>
      <c r="H177" s="7"/>
      <c r="I177" s="2"/>
    </row>
    <row r="178" spans="1:9" x14ac:dyDescent="0.25">
      <c r="A178" s="2"/>
      <c r="B178" s="2"/>
      <c r="C178" s="4"/>
      <c r="D178" s="2"/>
      <c r="F178" s="2"/>
      <c r="G178" s="7"/>
      <c r="H178" s="7"/>
      <c r="I178" s="2"/>
    </row>
    <row r="179" spans="1:9" x14ac:dyDescent="0.25">
      <c r="A179" s="6" t="s">
        <v>73</v>
      </c>
      <c r="B179" s="6"/>
      <c r="C179" s="13"/>
      <c r="D179" s="6"/>
      <c r="E179" s="6"/>
      <c r="F179" s="6"/>
      <c r="G179" s="14">
        <f>E180+E181</f>
        <v>6</v>
      </c>
      <c r="H179" s="14" t="s">
        <v>6</v>
      </c>
      <c r="I179" s="6"/>
    </row>
    <row r="180" spans="1:9" x14ac:dyDescent="0.25">
      <c r="A180" s="2"/>
      <c r="B180" s="2"/>
      <c r="C180" s="4"/>
      <c r="D180" s="2" t="s">
        <v>74</v>
      </c>
      <c r="E180" s="2">
        <v>3</v>
      </c>
      <c r="F180" s="2" t="s">
        <v>6</v>
      </c>
      <c r="G180" s="7"/>
      <c r="H180" s="7"/>
      <c r="I180" s="2"/>
    </row>
    <row r="181" spans="1:9" x14ac:dyDescent="0.25">
      <c r="A181" s="2"/>
      <c r="B181" s="2"/>
      <c r="C181" s="4"/>
      <c r="D181" s="2" t="s">
        <v>75</v>
      </c>
      <c r="E181" s="2">
        <v>3</v>
      </c>
      <c r="F181" s="2" t="s">
        <v>6</v>
      </c>
      <c r="G181" s="7"/>
      <c r="H181" s="7"/>
      <c r="I181" s="2"/>
    </row>
    <row r="182" spans="1:9" x14ac:dyDescent="0.25">
      <c r="A182" s="2"/>
      <c r="B182" s="2"/>
      <c r="C182" s="4"/>
      <c r="D182" s="2"/>
      <c r="F182" s="2"/>
      <c r="G182" s="7"/>
      <c r="H182" s="7"/>
      <c r="I182" s="2"/>
    </row>
    <row r="183" spans="1:9" x14ac:dyDescent="0.25">
      <c r="A183" s="6" t="s">
        <v>76</v>
      </c>
      <c r="B183" s="6"/>
      <c r="C183" s="13"/>
      <c r="D183" s="6"/>
      <c r="E183" s="14"/>
      <c r="F183" s="6"/>
      <c r="G183" s="14">
        <f>SUM(E184:E189)</f>
        <v>18</v>
      </c>
      <c r="H183" s="14" t="s">
        <v>6</v>
      </c>
      <c r="I183" s="6"/>
    </row>
    <row r="184" spans="1:9" x14ac:dyDescent="0.25">
      <c r="A184" s="2"/>
      <c r="B184" s="2" t="s">
        <v>77</v>
      </c>
      <c r="C184" s="4"/>
      <c r="D184" s="2" t="s">
        <v>78</v>
      </c>
      <c r="E184" s="7">
        <v>3</v>
      </c>
      <c r="F184" s="2" t="s">
        <v>6</v>
      </c>
      <c r="G184" s="7"/>
      <c r="H184" s="7"/>
      <c r="I184" s="2"/>
    </row>
    <row r="185" spans="1:9" x14ac:dyDescent="0.25">
      <c r="A185" s="2"/>
      <c r="B185" s="2" t="s">
        <v>79</v>
      </c>
      <c r="C185" s="4"/>
      <c r="D185" s="2" t="s">
        <v>80</v>
      </c>
      <c r="E185" s="7">
        <v>3</v>
      </c>
      <c r="F185" s="2" t="s">
        <v>6</v>
      </c>
      <c r="G185" s="7"/>
      <c r="H185" s="7"/>
      <c r="I185" s="2"/>
    </row>
    <row r="186" spans="1:9" x14ac:dyDescent="0.25">
      <c r="A186" s="2"/>
      <c r="B186" s="2" t="s">
        <v>81</v>
      </c>
      <c r="C186" s="4"/>
      <c r="D186" s="2" t="s">
        <v>82</v>
      </c>
      <c r="E186" s="7">
        <v>3</v>
      </c>
      <c r="F186" s="2" t="s">
        <v>6</v>
      </c>
      <c r="G186" s="7"/>
      <c r="H186" s="7"/>
      <c r="I186" s="2"/>
    </row>
    <row r="187" spans="1:9" x14ac:dyDescent="0.25">
      <c r="A187" s="2"/>
      <c r="B187" s="2" t="s">
        <v>83</v>
      </c>
      <c r="C187" s="4"/>
      <c r="D187" s="2" t="s">
        <v>84</v>
      </c>
      <c r="E187" s="7">
        <v>3</v>
      </c>
      <c r="F187" s="2" t="s">
        <v>6</v>
      </c>
      <c r="G187" s="7"/>
      <c r="H187" s="7"/>
      <c r="I187" s="2"/>
    </row>
    <row r="188" spans="1:9" x14ac:dyDescent="0.25">
      <c r="A188" s="2"/>
      <c r="B188" s="2" t="s">
        <v>85</v>
      </c>
      <c r="C188" s="4"/>
      <c r="D188" s="2" t="s">
        <v>86</v>
      </c>
      <c r="E188" s="7">
        <v>3</v>
      </c>
      <c r="F188" s="2" t="s">
        <v>6</v>
      </c>
      <c r="G188" s="7"/>
      <c r="H188" s="7"/>
      <c r="I188" s="2"/>
    </row>
    <row r="189" spans="1:9" x14ac:dyDescent="0.25">
      <c r="A189" s="2"/>
      <c r="B189" s="2" t="s">
        <v>87</v>
      </c>
      <c r="C189" s="4"/>
      <c r="D189" s="2" t="s">
        <v>88</v>
      </c>
      <c r="E189" s="7">
        <v>3</v>
      </c>
      <c r="F189" s="2" t="s">
        <v>6</v>
      </c>
      <c r="G189" s="7"/>
      <c r="H189" s="7"/>
      <c r="I189" s="2"/>
    </row>
    <row r="190" spans="1:9" x14ac:dyDescent="0.25">
      <c r="A190" s="2"/>
      <c r="B190" s="2"/>
      <c r="C190" s="4"/>
      <c r="D190" s="2"/>
      <c r="F190" s="2"/>
      <c r="G190" s="7"/>
      <c r="H190" s="7"/>
      <c r="I190" s="2"/>
    </row>
    <row r="191" spans="1:9" x14ac:dyDescent="0.25">
      <c r="A191" s="2"/>
      <c r="B191" s="2" t="s">
        <v>89</v>
      </c>
      <c r="C191" s="4"/>
      <c r="D191" s="2"/>
      <c r="F191" s="123">
        <f>SUM(G120:G189)</f>
        <v>152</v>
      </c>
      <c r="G191" s="123"/>
      <c r="H191" s="14" t="s">
        <v>6</v>
      </c>
      <c r="I191" s="2"/>
    </row>
    <row r="192" spans="1:9" x14ac:dyDescent="0.25">
      <c r="A192" s="2"/>
      <c r="B192" s="2"/>
      <c r="C192" s="4"/>
      <c r="D192" s="2"/>
      <c r="F192" s="2"/>
      <c r="G192" s="7"/>
      <c r="H192" s="7"/>
      <c r="I192" s="2"/>
    </row>
    <row r="193" spans="1:9" x14ac:dyDescent="0.25">
      <c r="A193" s="2"/>
      <c r="B193" s="2"/>
      <c r="C193" s="4"/>
      <c r="D193" s="2"/>
      <c r="F193" s="2"/>
      <c r="G193" s="7"/>
      <c r="H193" s="7"/>
      <c r="I193" s="2"/>
    </row>
  </sheetData>
  <mergeCells count="15">
    <mergeCell ref="A8:I8"/>
    <mergeCell ref="A1:I1"/>
    <mergeCell ref="A3:I3"/>
    <mergeCell ref="A4:I4"/>
    <mergeCell ref="A5:I5"/>
    <mergeCell ref="A7:I7"/>
    <mergeCell ref="A118:H118"/>
    <mergeCell ref="A119:H119"/>
    <mergeCell ref="F191:G191"/>
    <mergeCell ref="F86:G86"/>
    <mergeCell ref="H87:I87"/>
    <mergeCell ref="A113:I113"/>
    <mergeCell ref="A114:H114"/>
    <mergeCell ref="A115:H115"/>
    <mergeCell ref="A116:H116"/>
  </mergeCells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78016-6B55-4453-AECE-B9790808C63B}">
  <dimension ref="A1:P60"/>
  <sheetViews>
    <sheetView zoomScale="130" zoomScaleNormal="130" workbookViewId="0">
      <selection activeCell="F13" sqref="F13"/>
    </sheetView>
  </sheetViews>
  <sheetFormatPr defaultColWidth="9.28515625" defaultRowHeight="16.5" x14ac:dyDescent="0.3"/>
  <cols>
    <col min="1" max="1" width="8.28515625" style="18" customWidth="1"/>
    <col min="2" max="2" width="4.28515625" style="18" bestFit="1" customWidth="1"/>
    <col min="3" max="3" width="32" style="18" customWidth="1"/>
    <col min="4" max="4" width="3.42578125" style="44" customWidth="1"/>
    <col min="5" max="5" width="8.28515625" style="18" customWidth="1"/>
    <col min="6" max="6" width="9.28515625" style="18"/>
    <col min="7" max="7" width="3.28515625" style="18" customWidth="1"/>
    <col min="8" max="8" width="32.7109375" style="18" customWidth="1"/>
    <col min="9" max="9" width="3.5703125" style="44" customWidth="1"/>
    <col min="10" max="10" width="9.5703125" style="44" customWidth="1"/>
    <col min="11" max="16384" width="9.28515625" style="18"/>
  </cols>
  <sheetData>
    <row r="1" spans="1:16" x14ac:dyDescent="0.3">
      <c r="A1" s="129" t="s">
        <v>160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6" x14ac:dyDescent="0.3">
      <c r="A2" s="129" t="s">
        <v>2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6" x14ac:dyDescent="0.3">
      <c r="A3" s="129" t="s">
        <v>161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16" ht="9.75" customHeight="1" thickBot="1" x14ac:dyDescent="0.35">
      <c r="A4" s="19"/>
      <c r="B4" s="19"/>
      <c r="C4" s="19" t="s">
        <v>162</v>
      </c>
      <c r="D4" s="20"/>
      <c r="E4" s="19"/>
      <c r="F4" s="19"/>
      <c r="G4" s="19"/>
      <c r="H4" s="19"/>
      <c r="I4" s="20"/>
      <c r="J4" s="20"/>
    </row>
    <row r="5" spans="1:16" ht="12" customHeight="1" thickTop="1" thickBot="1" x14ac:dyDescent="0.35">
      <c r="A5" s="127" t="s">
        <v>163</v>
      </c>
      <c r="B5" s="127"/>
      <c r="C5" s="127"/>
      <c r="D5" s="127"/>
      <c r="E5" s="127"/>
      <c r="F5" s="127"/>
      <c r="G5" s="127"/>
      <c r="H5" s="127"/>
      <c r="I5" s="127"/>
      <c r="J5" s="127"/>
    </row>
    <row r="6" spans="1:16" ht="15.75" customHeight="1" thickTop="1" x14ac:dyDescent="0.3">
      <c r="A6" s="126" t="s">
        <v>164</v>
      </c>
      <c r="B6" s="126"/>
      <c r="C6" s="21" t="s">
        <v>165</v>
      </c>
      <c r="D6" s="22"/>
      <c r="E6" s="22"/>
      <c r="F6" s="130" t="s">
        <v>166</v>
      </c>
      <c r="G6" s="130"/>
      <c r="H6" s="23" t="s">
        <v>167</v>
      </c>
      <c r="I6" s="22"/>
      <c r="J6" s="22"/>
    </row>
    <row r="7" spans="1:16" x14ac:dyDescent="0.3">
      <c r="A7" s="24" t="s">
        <v>168</v>
      </c>
      <c r="B7" s="25">
        <v>1</v>
      </c>
      <c r="C7" s="26" t="s">
        <v>78</v>
      </c>
      <c r="D7" s="25" t="s">
        <v>169</v>
      </c>
      <c r="E7" s="25"/>
      <c r="F7" s="27" t="s">
        <v>168</v>
      </c>
      <c r="G7" s="28">
        <v>2</v>
      </c>
      <c r="H7" s="27" t="s">
        <v>80</v>
      </c>
      <c r="I7" s="28" t="s">
        <v>169</v>
      </c>
      <c r="J7" s="28"/>
    </row>
    <row r="8" spans="1:16" x14ac:dyDescent="0.3">
      <c r="A8" s="29" t="s">
        <v>7</v>
      </c>
      <c r="B8" s="30">
        <v>1</v>
      </c>
      <c r="C8" s="31" t="s">
        <v>8</v>
      </c>
      <c r="D8" s="28">
        <v>3</v>
      </c>
      <c r="E8" s="28"/>
      <c r="F8" s="29" t="s">
        <v>7</v>
      </c>
      <c r="G8" s="28">
        <v>5</v>
      </c>
      <c r="H8" s="27" t="s">
        <v>12</v>
      </c>
      <c r="I8" s="28">
        <v>3</v>
      </c>
      <c r="J8" s="28"/>
    </row>
    <row r="9" spans="1:16" x14ac:dyDescent="0.3">
      <c r="A9" s="29" t="s">
        <v>7</v>
      </c>
      <c r="B9" s="30">
        <v>2</v>
      </c>
      <c r="C9" s="31" t="s">
        <v>170</v>
      </c>
      <c r="D9" s="28">
        <v>3</v>
      </c>
      <c r="E9" s="28"/>
      <c r="F9" s="29" t="s">
        <v>7</v>
      </c>
      <c r="G9" s="34">
        <v>6</v>
      </c>
      <c r="H9" s="35" t="s">
        <v>13</v>
      </c>
      <c r="I9" s="28">
        <v>3</v>
      </c>
      <c r="J9" s="28"/>
      <c r="P9" s="44"/>
    </row>
    <row r="10" spans="1:16" x14ac:dyDescent="0.3">
      <c r="A10" s="29" t="s">
        <v>7</v>
      </c>
      <c r="B10" s="47">
        <v>3</v>
      </c>
      <c r="C10" s="33" t="s">
        <v>10</v>
      </c>
      <c r="D10" s="28">
        <v>3</v>
      </c>
      <c r="E10" s="28"/>
      <c r="F10" s="48" t="s">
        <v>188</v>
      </c>
      <c r="G10" s="37">
        <v>12</v>
      </c>
      <c r="H10" s="48" t="s">
        <v>227</v>
      </c>
      <c r="I10" s="44">
        <v>3</v>
      </c>
    </row>
    <row r="11" spans="1:16" ht="14.25" customHeight="1" x14ac:dyDescent="0.3">
      <c r="A11" s="29" t="s">
        <v>7</v>
      </c>
      <c r="B11" s="32">
        <v>4</v>
      </c>
      <c r="C11" s="33" t="s">
        <v>11</v>
      </c>
      <c r="D11" s="28">
        <v>3</v>
      </c>
      <c r="E11" s="28"/>
      <c r="F11" s="38" t="s">
        <v>230</v>
      </c>
      <c r="G11" s="32">
        <v>103</v>
      </c>
      <c r="H11" s="38" t="s">
        <v>28</v>
      </c>
      <c r="I11" s="37">
        <v>3</v>
      </c>
      <c r="J11" s="18" t="s">
        <v>174</v>
      </c>
      <c r="O11" s="37"/>
    </row>
    <row r="12" spans="1:16" ht="14.25" customHeight="1" x14ac:dyDescent="0.3">
      <c r="A12" s="36" t="s">
        <v>171</v>
      </c>
      <c r="B12" s="32">
        <v>1</v>
      </c>
      <c r="C12" s="33" t="s">
        <v>67</v>
      </c>
      <c r="D12" s="37">
        <v>3</v>
      </c>
      <c r="E12" s="37"/>
      <c r="F12" s="18" t="s">
        <v>230</v>
      </c>
      <c r="G12" s="32">
        <v>104</v>
      </c>
      <c r="H12" s="38" t="s">
        <v>39</v>
      </c>
      <c r="I12" s="37">
        <v>3</v>
      </c>
      <c r="J12" s="44" t="s">
        <v>96</v>
      </c>
    </row>
    <row r="13" spans="1:16" ht="14.25" customHeight="1" x14ac:dyDescent="0.3">
      <c r="A13" s="36" t="s">
        <v>230</v>
      </c>
      <c r="B13" s="32">
        <v>101</v>
      </c>
      <c r="C13" s="33" t="s">
        <v>26</v>
      </c>
      <c r="D13" s="37">
        <v>3</v>
      </c>
      <c r="E13" s="37" t="s">
        <v>173</v>
      </c>
      <c r="F13" s="38" t="s">
        <v>25</v>
      </c>
      <c r="G13" s="28">
        <v>105</v>
      </c>
      <c r="H13" s="27" t="s">
        <v>33</v>
      </c>
      <c r="I13" s="28">
        <v>3</v>
      </c>
      <c r="J13" s="28" t="s">
        <v>174</v>
      </c>
    </row>
    <row r="14" spans="1:16" ht="15" customHeight="1" x14ac:dyDescent="0.3">
      <c r="A14" s="36" t="s">
        <v>230</v>
      </c>
      <c r="B14" s="32">
        <v>102</v>
      </c>
      <c r="C14" s="33" t="s">
        <v>27</v>
      </c>
      <c r="D14" s="37">
        <v>3</v>
      </c>
      <c r="E14" s="37" t="s">
        <v>173</v>
      </c>
      <c r="F14" s="27" t="s">
        <v>176</v>
      </c>
      <c r="G14" s="28">
        <v>2</v>
      </c>
      <c r="H14" s="27" t="s">
        <v>177</v>
      </c>
      <c r="I14" s="28">
        <v>2</v>
      </c>
      <c r="J14" s="28"/>
      <c r="K14" s="39"/>
    </row>
    <row r="15" spans="1:16" x14ac:dyDescent="0.3">
      <c r="A15" s="40" t="s">
        <v>178</v>
      </c>
      <c r="B15" s="28">
        <v>1</v>
      </c>
      <c r="C15" s="27" t="s">
        <v>179</v>
      </c>
      <c r="D15" s="28">
        <v>2</v>
      </c>
      <c r="E15" s="28"/>
      <c r="F15" s="41" t="s">
        <v>180</v>
      </c>
      <c r="G15" s="28">
        <v>2</v>
      </c>
      <c r="H15" s="27" t="s">
        <v>181</v>
      </c>
      <c r="I15" s="42">
        <v>3</v>
      </c>
      <c r="J15" s="42"/>
    </row>
    <row r="16" spans="1:16" x14ac:dyDescent="0.3">
      <c r="A16" s="43" t="s">
        <v>180</v>
      </c>
      <c r="B16" s="28">
        <v>1</v>
      </c>
      <c r="C16" s="27" t="s">
        <v>182</v>
      </c>
      <c r="D16" s="42">
        <v>3</v>
      </c>
      <c r="E16" s="28"/>
      <c r="I16" s="30">
        <f>SUM(I8:I15)</f>
        <v>23</v>
      </c>
      <c r="J16" s="30"/>
    </row>
    <row r="17" spans="1:11" ht="17.25" thickBot="1" x14ac:dyDescent="0.35">
      <c r="D17" s="30">
        <f>SUM(D7:D16)</f>
        <v>26</v>
      </c>
      <c r="E17" s="30"/>
    </row>
    <row r="18" spans="1:11" ht="15.6" customHeight="1" thickTop="1" thickBot="1" x14ac:dyDescent="0.35">
      <c r="A18" s="127" t="s">
        <v>229</v>
      </c>
      <c r="B18" s="127"/>
      <c r="C18" s="127"/>
      <c r="D18" s="127"/>
      <c r="E18" s="127"/>
      <c r="F18" s="127"/>
      <c r="G18" s="127"/>
      <c r="H18" s="127"/>
      <c r="I18" s="127"/>
      <c r="J18" s="127"/>
    </row>
    <row r="19" spans="1:11" ht="17.25" thickTop="1" x14ac:dyDescent="0.3">
      <c r="A19" s="27" t="s">
        <v>7</v>
      </c>
      <c r="B19" s="28">
        <v>8</v>
      </c>
      <c r="C19" s="27" t="s">
        <v>15</v>
      </c>
      <c r="D19" s="28">
        <v>3</v>
      </c>
      <c r="E19" s="28"/>
      <c r="F19" s="41"/>
      <c r="G19" s="28"/>
      <c r="H19" s="27"/>
      <c r="I19" s="28"/>
      <c r="J19" s="28"/>
    </row>
    <row r="20" spans="1:11" x14ac:dyDescent="0.3">
      <c r="C20" s="31" t="s">
        <v>214</v>
      </c>
      <c r="D20" s="44">
        <v>3</v>
      </c>
      <c r="E20" s="18" t="s">
        <v>215</v>
      </c>
      <c r="F20" s="41"/>
      <c r="G20" s="28"/>
      <c r="H20" s="27"/>
      <c r="I20" s="28"/>
      <c r="J20" s="28"/>
    </row>
    <row r="21" spans="1:11" ht="17.25" thickBot="1" x14ac:dyDescent="0.35">
      <c r="A21" s="43"/>
      <c r="B21" s="28"/>
      <c r="C21" s="27"/>
      <c r="D21" s="28">
        <f ca="1">SUM(D19:D44)</f>
        <v>9</v>
      </c>
      <c r="E21" s="28"/>
      <c r="F21" s="41"/>
      <c r="G21" s="28"/>
      <c r="H21" s="27"/>
      <c r="I21" s="28"/>
      <c r="J21" s="28"/>
    </row>
    <row r="22" spans="1:11" ht="15.6" customHeight="1" thickTop="1" thickBot="1" x14ac:dyDescent="0.35">
      <c r="A22" s="127" t="s">
        <v>184</v>
      </c>
      <c r="B22" s="127"/>
      <c r="C22" s="127"/>
      <c r="D22" s="127"/>
      <c r="E22" s="127"/>
      <c r="F22" s="127"/>
      <c r="G22" s="127"/>
      <c r="H22" s="127"/>
      <c r="I22" s="127"/>
      <c r="J22" s="127"/>
    </row>
    <row r="23" spans="1:11" ht="17.25" thickTop="1" x14ac:dyDescent="0.3">
      <c r="A23" s="130" t="s">
        <v>185</v>
      </c>
      <c r="B23" s="130"/>
      <c r="C23" s="45" t="s">
        <v>167</v>
      </c>
      <c r="D23" s="22"/>
      <c r="E23" s="22"/>
      <c r="F23" s="130" t="s">
        <v>166</v>
      </c>
      <c r="G23" s="130"/>
      <c r="H23" s="45" t="s">
        <v>167</v>
      </c>
      <c r="I23" s="22"/>
      <c r="J23" s="22"/>
    </row>
    <row r="24" spans="1:11" ht="14.25" customHeight="1" x14ac:dyDescent="0.3">
      <c r="A24" s="46" t="s">
        <v>168</v>
      </c>
      <c r="B24" s="25">
        <v>3</v>
      </c>
      <c r="C24" s="26" t="s">
        <v>186</v>
      </c>
      <c r="D24" s="25" t="s">
        <v>169</v>
      </c>
      <c r="E24" s="25"/>
      <c r="F24" s="26" t="s">
        <v>168</v>
      </c>
      <c r="G24" s="25">
        <v>4</v>
      </c>
      <c r="H24" s="26" t="s">
        <v>84</v>
      </c>
      <c r="I24" s="47" t="s">
        <v>169</v>
      </c>
      <c r="J24" s="47"/>
    </row>
    <row r="25" spans="1:11" ht="12.75" customHeight="1" x14ac:dyDescent="0.3">
      <c r="A25" s="29" t="s">
        <v>7</v>
      </c>
      <c r="B25" s="37">
        <v>7</v>
      </c>
      <c r="C25" s="26" t="s">
        <v>14</v>
      </c>
      <c r="D25" s="28">
        <v>3</v>
      </c>
      <c r="E25" s="28"/>
      <c r="F25" s="48" t="s">
        <v>187</v>
      </c>
      <c r="G25" s="37">
        <v>2</v>
      </c>
      <c r="H25" s="49" t="s">
        <v>156</v>
      </c>
      <c r="I25" s="50">
        <v>3</v>
      </c>
      <c r="J25" s="50"/>
    </row>
    <row r="26" spans="1:11" ht="15" customHeight="1" x14ac:dyDescent="0.3">
      <c r="A26" s="26" t="s">
        <v>7</v>
      </c>
      <c r="B26" s="25">
        <v>9</v>
      </c>
      <c r="C26" s="33" t="s">
        <v>16</v>
      </c>
      <c r="D26" s="28">
        <v>3</v>
      </c>
      <c r="H26" s="33" t="s">
        <v>228</v>
      </c>
      <c r="I26" s="28">
        <v>3</v>
      </c>
      <c r="J26" s="18"/>
    </row>
    <row r="27" spans="1:11" ht="15" customHeight="1" x14ac:dyDescent="0.3">
      <c r="A27" s="26" t="s">
        <v>187</v>
      </c>
      <c r="B27" s="25">
        <v>1</v>
      </c>
      <c r="C27" s="33" t="s">
        <v>154</v>
      </c>
      <c r="D27" s="25">
        <v>3</v>
      </c>
      <c r="E27" s="28"/>
      <c r="F27" s="29" t="s">
        <v>25</v>
      </c>
      <c r="G27" s="30">
        <v>305</v>
      </c>
      <c r="H27" s="61" t="s">
        <v>204</v>
      </c>
      <c r="I27" s="28">
        <v>3</v>
      </c>
      <c r="J27" s="18" t="s">
        <v>205</v>
      </c>
    </row>
    <row r="28" spans="1:11" x14ac:dyDescent="0.3">
      <c r="A28" s="51" t="s">
        <v>25</v>
      </c>
      <c r="B28" s="28">
        <v>202</v>
      </c>
      <c r="C28" s="27" t="s">
        <v>53</v>
      </c>
      <c r="D28" s="28">
        <v>3</v>
      </c>
      <c r="E28" s="28" t="s">
        <v>190</v>
      </c>
      <c r="F28" s="31" t="s">
        <v>25</v>
      </c>
      <c r="G28" s="30">
        <v>302</v>
      </c>
      <c r="H28" s="31" t="s">
        <v>52</v>
      </c>
      <c r="I28" s="28">
        <v>3</v>
      </c>
      <c r="J28" s="28" t="s">
        <v>203</v>
      </c>
      <c r="K28" s="27"/>
    </row>
    <row r="29" spans="1:11" x14ac:dyDescent="0.3">
      <c r="A29" s="31" t="s">
        <v>25</v>
      </c>
      <c r="B29" s="30">
        <v>301</v>
      </c>
      <c r="C29" s="71" t="s">
        <v>213</v>
      </c>
      <c r="D29" s="28">
        <v>3</v>
      </c>
      <c r="E29" s="28" t="s">
        <v>190</v>
      </c>
      <c r="F29" s="27" t="s">
        <v>175</v>
      </c>
      <c r="G29" s="28">
        <v>204</v>
      </c>
      <c r="H29" s="27" t="s">
        <v>30</v>
      </c>
      <c r="I29" s="44">
        <v>3</v>
      </c>
      <c r="J29" s="44" t="s">
        <v>189</v>
      </c>
    </row>
    <row r="30" spans="1:11" x14ac:dyDescent="0.3">
      <c r="A30" s="31" t="s">
        <v>25</v>
      </c>
      <c r="B30" s="31">
        <v>201</v>
      </c>
      <c r="C30" s="31" t="s">
        <v>29</v>
      </c>
      <c r="D30" s="28">
        <v>3</v>
      </c>
      <c r="E30" s="28" t="s">
        <v>190</v>
      </c>
      <c r="F30" s="31" t="s">
        <v>175</v>
      </c>
      <c r="G30" s="30">
        <v>205</v>
      </c>
      <c r="H30" s="31" t="s">
        <v>40</v>
      </c>
      <c r="I30" s="30">
        <v>3</v>
      </c>
      <c r="J30" s="30" t="s">
        <v>191</v>
      </c>
    </row>
    <row r="31" spans="1:11" ht="16.5" customHeight="1" x14ac:dyDescent="0.3">
      <c r="A31" s="31" t="s">
        <v>25</v>
      </c>
      <c r="B31" s="30">
        <v>402</v>
      </c>
      <c r="C31" s="27" t="s">
        <v>51</v>
      </c>
      <c r="D31" s="28">
        <v>3</v>
      </c>
      <c r="E31" s="28" t="s">
        <v>190</v>
      </c>
      <c r="F31" s="48" t="s">
        <v>172</v>
      </c>
      <c r="G31" s="37">
        <v>211</v>
      </c>
      <c r="H31" s="48" t="s">
        <v>58</v>
      </c>
      <c r="I31" s="50">
        <v>3</v>
      </c>
      <c r="J31" s="50"/>
    </row>
    <row r="32" spans="1:11" ht="15.75" customHeight="1" x14ac:dyDescent="0.3">
      <c r="A32" s="26" t="s">
        <v>178</v>
      </c>
      <c r="B32" s="25">
        <v>3</v>
      </c>
      <c r="C32" s="26" t="s">
        <v>194</v>
      </c>
      <c r="D32" s="53">
        <v>2</v>
      </c>
      <c r="E32" s="25"/>
      <c r="F32" s="48" t="s">
        <v>178</v>
      </c>
      <c r="G32" s="37">
        <v>4</v>
      </c>
      <c r="H32" s="48" t="s">
        <v>193</v>
      </c>
      <c r="I32" s="52">
        <v>2</v>
      </c>
      <c r="J32" s="30"/>
    </row>
    <row r="33" spans="1:10" ht="17.25" thickBot="1" x14ac:dyDescent="0.35">
      <c r="D33" s="37">
        <f>SUM(D25:D32)</f>
        <v>23</v>
      </c>
      <c r="E33" s="37"/>
      <c r="I33" s="30">
        <f>SUM(I25:I32)</f>
        <v>23</v>
      </c>
      <c r="J33" s="30"/>
    </row>
    <row r="34" spans="1:10" ht="12" customHeight="1" thickTop="1" thickBot="1" x14ac:dyDescent="0.35">
      <c r="A34" s="127" t="s">
        <v>229</v>
      </c>
      <c r="B34" s="127"/>
      <c r="C34" s="127"/>
      <c r="D34" s="127"/>
      <c r="E34" s="127"/>
      <c r="F34" s="127"/>
      <c r="G34" s="127"/>
      <c r="H34" s="127"/>
      <c r="I34" s="127"/>
      <c r="J34" s="127"/>
    </row>
    <row r="35" spans="1:10" ht="17.25" thickTop="1" x14ac:dyDescent="0.3">
      <c r="A35" s="38" t="s">
        <v>25</v>
      </c>
      <c r="B35" s="28">
        <v>207</v>
      </c>
      <c r="C35" s="31" t="s">
        <v>41</v>
      </c>
      <c r="D35" s="28">
        <v>3</v>
      </c>
      <c r="E35" s="28" t="s">
        <v>195</v>
      </c>
      <c r="F35" s="41"/>
      <c r="G35" s="28"/>
      <c r="H35" s="27"/>
      <c r="I35" s="28"/>
      <c r="J35" s="28"/>
    </row>
    <row r="36" spans="1:10" x14ac:dyDescent="0.3">
      <c r="A36" s="31" t="s">
        <v>175</v>
      </c>
      <c r="B36" s="31">
        <v>208</v>
      </c>
      <c r="C36" s="31" t="s">
        <v>196</v>
      </c>
      <c r="D36" s="52">
        <v>3</v>
      </c>
      <c r="E36" s="30" t="s">
        <v>197</v>
      </c>
      <c r="I36" s="18"/>
      <c r="J36" s="18"/>
    </row>
    <row r="37" spans="1:10" ht="15.75" customHeight="1" x14ac:dyDescent="0.3">
      <c r="F37" s="41"/>
      <c r="G37" s="28"/>
      <c r="H37" s="27"/>
      <c r="I37" s="28"/>
      <c r="J37" s="28"/>
    </row>
    <row r="38" spans="1:10" ht="12" customHeight="1" thickBot="1" x14ac:dyDescent="0.35">
      <c r="A38" s="54"/>
      <c r="B38" s="54"/>
      <c r="C38" s="54"/>
      <c r="D38" s="55"/>
      <c r="E38" s="55"/>
      <c r="F38" s="56"/>
      <c r="G38" s="55"/>
      <c r="H38" s="57"/>
      <c r="I38" s="58"/>
      <c r="J38" s="58"/>
    </row>
    <row r="39" spans="1:10" ht="15.6" customHeight="1" thickTop="1" thickBot="1" x14ac:dyDescent="0.35">
      <c r="A39" s="127" t="s">
        <v>198</v>
      </c>
      <c r="B39" s="127"/>
      <c r="C39" s="127"/>
      <c r="D39" s="127"/>
      <c r="E39" s="127"/>
      <c r="F39" s="127"/>
      <c r="G39" s="127"/>
      <c r="H39" s="127"/>
      <c r="I39" s="127"/>
      <c r="J39" s="127"/>
    </row>
    <row r="40" spans="1:10" ht="17.25" thickTop="1" x14ac:dyDescent="0.3">
      <c r="A40" s="126" t="s">
        <v>185</v>
      </c>
      <c r="B40" s="126"/>
      <c r="C40" s="45" t="s">
        <v>167</v>
      </c>
      <c r="D40" s="22"/>
      <c r="E40" s="22"/>
      <c r="F40" s="126" t="s">
        <v>166</v>
      </c>
      <c r="G40" s="126"/>
      <c r="H40" s="45" t="s">
        <v>167</v>
      </c>
      <c r="I40" s="22"/>
      <c r="J40" s="22"/>
    </row>
    <row r="41" spans="1:10" ht="15" customHeight="1" x14ac:dyDescent="0.3">
      <c r="A41" s="46" t="s">
        <v>168</v>
      </c>
      <c r="B41" s="25">
        <v>5</v>
      </c>
      <c r="C41" s="26" t="s">
        <v>86</v>
      </c>
      <c r="D41" s="25" t="s">
        <v>169</v>
      </c>
      <c r="E41" s="25"/>
      <c r="F41" s="26" t="s">
        <v>168</v>
      </c>
      <c r="G41" s="25">
        <v>6</v>
      </c>
      <c r="H41" s="59" t="s">
        <v>199</v>
      </c>
      <c r="I41" s="37" t="s">
        <v>169</v>
      </c>
      <c r="J41" s="18"/>
    </row>
    <row r="42" spans="1:10" x14ac:dyDescent="0.3">
      <c r="C42" s="31" t="s">
        <v>221</v>
      </c>
      <c r="D42" s="44">
        <v>3</v>
      </c>
      <c r="H42" s="29" t="s">
        <v>222</v>
      </c>
      <c r="I42" s="44">
        <v>3</v>
      </c>
      <c r="J42" s="44" t="s">
        <v>183</v>
      </c>
    </row>
    <row r="43" spans="1:10" x14ac:dyDescent="0.3">
      <c r="A43" s="27" t="s">
        <v>25</v>
      </c>
      <c r="B43" s="30">
        <v>304</v>
      </c>
      <c r="C43" s="29" t="s">
        <v>44</v>
      </c>
      <c r="D43" s="28">
        <v>3</v>
      </c>
      <c r="E43" s="18" t="s">
        <v>202</v>
      </c>
      <c r="F43" s="31" t="s">
        <v>172</v>
      </c>
      <c r="G43" s="30">
        <v>311</v>
      </c>
      <c r="H43" s="31" t="s">
        <v>64</v>
      </c>
      <c r="I43" s="28">
        <v>3</v>
      </c>
      <c r="J43" s="18" t="s">
        <v>217</v>
      </c>
    </row>
    <row r="44" spans="1:10" x14ac:dyDescent="0.3">
      <c r="A44" s="18" t="s">
        <v>175</v>
      </c>
      <c r="B44" s="28">
        <v>303</v>
      </c>
      <c r="C44" s="27" t="s">
        <v>219</v>
      </c>
      <c r="D44" s="28">
        <v>3</v>
      </c>
      <c r="E44" s="28" t="s">
        <v>203</v>
      </c>
      <c r="F44" s="18" t="s">
        <v>25</v>
      </c>
      <c r="G44" s="28">
        <v>203</v>
      </c>
      <c r="H44" s="27" t="s">
        <v>35</v>
      </c>
      <c r="I44" s="28">
        <v>3</v>
      </c>
      <c r="J44" s="28" t="s">
        <v>192</v>
      </c>
    </row>
    <row r="45" spans="1:10" x14ac:dyDescent="0.3">
      <c r="A45" s="60" t="s">
        <v>172</v>
      </c>
      <c r="B45" s="37">
        <v>310</v>
      </c>
      <c r="C45" s="49" t="s">
        <v>200</v>
      </c>
      <c r="D45" s="50">
        <v>3</v>
      </c>
      <c r="E45" s="18" t="s">
        <v>201</v>
      </c>
      <c r="H45" s="27" t="s">
        <v>223</v>
      </c>
      <c r="I45" s="44">
        <v>3</v>
      </c>
      <c r="J45" s="44" t="s">
        <v>220</v>
      </c>
    </row>
    <row r="46" spans="1:10" x14ac:dyDescent="0.3">
      <c r="C46" s="31" t="s">
        <v>218</v>
      </c>
      <c r="D46" s="44">
        <v>3</v>
      </c>
      <c r="E46" s="18" t="s">
        <v>217</v>
      </c>
      <c r="F46" s="27" t="s">
        <v>172</v>
      </c>
      <c r="G46" s="28">
        <v>212</v>
      </c>
      <c r="H46" s="27" t="s">
        <v>60</v>
      </c>
      <c r="I46" s="28">
        <v>3</v>
      </c>
      <c r="J46" s="28" t="s">
        <v>216</v>
      </c>
    </row>
    <row r="47" spans="1:10" x14ac:dyDescent="0.3">
      <c r="A47" s="27" t="s">
        <v>175</v>
      </c>
      <c r="B47" s="27">
        <v>106</v>
      </c>
      <c r="C47" s="27" t="s">
        <v>34</v>
      </c>
      <c r="D47" s="42">
        <v>3</v>
      </c>
      <c r="E47" s="28" t="s">
        <v>183</v>
      </c>
      <c r="F47" s="27" t="s">
        <v>46</v>
      </c>
      <c r="G47" s="28">
        <v>101</v>
      </c>
      <c r="H47" s="31" t="s">
        <v>206</v>
      </c>
      <c r="I47" s="42">
        <v>3</v>
      </c>
      <c r="J47" s="18" t="s">
        <v>207</v>
      </c>
    </row>
    <row r="48" spans="1:10" ht="17.25" thickBot="1" x14ac:dyDescent="0.35">
      <c r="A48" s="27"/>
      <c r="B48" s="62"/>
      <c r="C48" s="27"/>
      <c r="D48" s="37">
        <f>SUM(D42:D47)</f>
        <v>18</v>
      </c>
      <c r="E48" s="37"/>
      <c r="F48" s="27"/>
      <c r="G48" s="28"/>
      <c r="H48" s="27"/>
      <c r="I48" s="28">
        <f>SUM(I41:I47)</f>
        <v>18</v>
      </c>
      <c r="J48" s="28"/>
    </row>
    <row r="49" spans="1:10" ht="12.75" customHeight="1" thickTop="1" thickBot="1" x14ac:dyDescent="0.35">
      <c r="A49" s="127" t="s">
        <v>229</v>
      </c>
      <c r="B49" s="127"/>
      <c r="C49" s="127"/>
      <c r="D49" s="127"/>
      <c r="E49" s="127"/>
      <c r="F49" s="127"/>
      <c r="G49" s="127"/>
      <c r="H49" s="127"/>
      <c r="I49" s="127"/>
      <c r="J49" s="127"/>
    </row>
    <row r="50" spans="1:10" ht="13.5" customHeight="1" thickTop="1" x14ac:dyDescent="0.3">
      <c r="A50" s="29" t="s">
        <v>25</v>
      </c>
      <c r="B50" s="30">
        <v>306</v>
      </c>
      <c r="C50" s="61" t="s">
        <v>208</v>
      </c>
      <c r="D50" s="63">
        <v>3</v>
      </c>
      <c r="E50" s="28" t="s">
        <v>202</v>
      </c>
      <c r="F50" s="64"/>
      <c r="G50" s="64"/>
      <c r="H50" s="64"/>
      <c r="I50" s="64"/>
      <c r="J50" s="64"/>
    </row>
    <row r="51" spans="1:10" ht="13.5" customHeight="1" x14ac:dyDescent="0.3">
      <c r="A51" s="48" t="s">
        <v>188</v>
      </c>
      <c r="B51" s="37">
        <v>11</v>
      </c>
      <c r="C51" s="49" t="s">
        <v>20</v>
      </c>
      <c r="D51" s="42">
        <v>3</v>
      </c>
      <c r="F51" s="64"/>
      <c r="G51" s="64"/>
      <c r="H51" s="64"/>
      <c r="I51" s="64"/>
      <c r="J51" s="64"/>
    </row>
    <row r="52" spans="1:10" ht="17.25" thickBot="1" x14ac:dyDescent="0.35">
      <c r="D52" s="44">
        <f>SUM(D50:D51)</f>
        <v>6</v>
      </c>
      <c r="E52" s="28"/>
      <c r="F52" s="64"/>
      <c r="G52" s="64"/>
      <c r="H52" s="64"/>
      <c r="I52" s="64"/>
      <c r="J52" s="64"/>
    </row>
    <row r="53" spans="1:10" ht="15.6" customHeight="1" thickTop="1" thickBot="1" x14ac:dyDescent="0.35">
      <c r="A53" s="128" t="s">
        <v>209</v>
      </c>
      <c r="B53" s="128"/>
      <c r="C53" s="128"/>
      <c r="D53" s="128"/>
      <c r="E53" s="128"/>
      <c r="F53" s="128"/>
      <c r="G53" s="128"/>
      <c r="H53" s="128"/>
      <c r="I53" s="128"/>
      <c r="J53" s="128"/>
    </row>
    <row r="54" spans="1:10" ht="17.25" thickTop="1" x14ac:dyDescent="0.3">
      <c r="A54" s="126" t="s">
        <v>185</v>
      </c>
      <c r="B54" s="126"/>
      <c r="C54" s="45" t="s">
        <v>167</v>
      </c>
      <c r="D54" s="22"/>
      <c r="E54" s="22"/>
      <c r="F54" s="126" t="s">
        <v>166</v>
      </c>
      <c r="G54" s="126"/>
      <c r="H54" s="45" t="s">
        <v>167</v>
      </c>
      <c r="I54" s="22"/>
      <c r="J54" s="22"/>
    </row>
    <row r="55" spans="1:10" x14ac:dyDescent="0.3">
      <c r="A55" s="35" t="s">
        <v>25</v>
      </c>
      <c r="B55" s="34">
        <v>401</v>
      </c>
      <c r="C55" s="35" t="s">
        <v>210</v>
      </c>
      <c r="D55" s="65">
        <v>3</v>
      </c>
      <c r="E55" s="65" t="s">
        <v>211</v>
      </c>
      <c r="F55" s="31" t="s">
        <v>25</v>
      </c>
      <c r="G55" s="30">
        <v>500</v>
      </c>
      <c r="H55" s="31" t="s">
        <v>42</v>
      </c>
      <c r="I55" s="42">
        <v>6</v>
      </c>
      <c r="J55" s="42"/>
    </row>
    <row r="56" spans="1:10" x14ac:dyDescent="0.3">
      <c r="A56" s="67" t="s">
        <v>46</v>
      </c>
      <c r="B56" s="68">
        <v>102</v>
      </c>
      <c r="C56" s="31" t="s">
        <v>212</v>
      </c>
      <c r="D56" s="69">
        <v>3</v>
      </c>
      <c r="F56" s="35"/>
      <c r="G56" s="65"/>
      <c r="H56" s="35"/>
      <c r="I56" s="66">
        <v>6</v>
      </c>
      <c r="J56" s="66"/>
    </row>
    <row r="57" spans="1:10" x14ac:dyDescent="0.3">
      <c r="D57" s="65">
        <f>SUM(D55:D56)</f>
        <v>6</v>
      </c>
      <c r="I57" s="30"/>
      <c r="J57" s="30"/>
    </row>
    <row r="58" spans="1:10" x14ac:dyDescent="0.3">
      <c r="A58" s="67"/>
      <c r="B58" s="68"/>
      <c r="C58" s="31"/>
      <c r="E58" s="65"/>
      <c r="I58" s="30"/>
      <c r="J58" s="30"/>
    </row>
    <row r="60" spans="1:10" x14ac:dyDescent="0.3">
      <c r="A60" s="70"/>
    </row>
  </sheetData>
  <mergeCells count="18">
    <mergeCell ref="A39:J39"/>
    <mergeCell ref="A1:J1"/>
    <mergeCell ref="A2:J2"/>
    <mergeCell ref="A3:J3"/>
    <mergeCell ref="A5:J5"/>
    <mergeCell ref="A6:B6"/>
    <mergeCell ref="F6:G6"/>
    <mergeCell ref="A18:J18"/>
    <mergeCell ref="A22:J22"/>
    <mergeCell ref="A23:B23"/>
    <mergeCell ref="F23:G23"/>
    <mergeCell ref="A34:J34"/>
    <mergeCell ref="A40:B40"/>
    <mergeCell ref="F40:G40"/>
    <mergeCell ref="A54:B54"/>
    <mergeCell ref="F54:G54"/>
    <mergeCell ref="A49:J49"/>
    <mergeCell ref="A53:J53"/>
  </mergeCells>
  <pageMargins left="0.7" right="0.37" top="0.75" bottom="1.1000000000000001" header="0.3" footer="0.3"/>
  <pageSetup orientation="landscape" horizontalDpi="0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489E51-699D-461C-B7C3-C6B4E70855A2}">
  <dimension ref="A1:P57"/>
  <sheetViews>
    <sheetView zoomScale="130" zoomScaleNormal="130" workbookViewId="0">
      <selection activeCell="J13" sqref="J13"/>
    </sheetView>
  </sheetViews>
  <sheetFormatPr defaultColWidth="9.28515625" defaultRowHeight="12.75" x14ac:dyDescent="0.2"/>
  <cols>
    <col min="1" max="1" width="8.28515625" style="31" customWidth="1"/>
    <col min="2" max="2" width="4.28515625" style="30" bestFit="1" customWidth="1"/>
    <col min="3" max="3" width="32" style="31" customWidth="1"/>
    <col min="4" max="4" width="3.42578125" style="30" customWidth="1"/>
    <col min="5" max="5" width="8.28515625" style="31" customWidth="1"/>
    <col min="6" max="6" width="9.28515625" style="31"/>
    <col min="7" max="7" width="4.7109375" style="30" customWidth="1"/>
    <col min="8" max="8" width="32.7109375" style="31" customWidth="1"/>
    <col min="9" max="9" width="3.5703125" style="30" customWidth="1"/>
    <col min="10" max="10" width="9.5703125" style="30" customWidth="1"/>
    <col min="11" max="16384" width="9.28515625" style="31"/>
  </cols>
  <sheetData>
    <row r="1" spans="1:16" x14ac:dyDescent="0.2">
      <c r="A1" s="129" t="s">
        <v>160</v>
      </c>
      <c r="B1" s="129"/>
      <c r="C1" s="129"/>
      <c r="D1" s="129"/>
      <c r="E1" s="129"/>
      <c r="F1" s="129"/>
      <c r="G1" s="129"/>
      <c r="H1" s="129"/>
      <c r="I1" s="129"/>
      <c r="J1" s="129"/>
    </row>
    <row r="2" spans="1:16" x14ac:dyDescent="0.2">
      <c r="A2" s="129" t="s">
        <v>2</v>
      </c>
      <c r="B2" s="129"/>
      <c r="C2" s="129"/>
      <c r="D2" s="129"/>
      <c r="E2" s="129"/>
      <c r="F2" s="129"/>
      <c r="G2" s="129"/>
      <c r="H2" s="129"/>
      <c r="I2" s="129"/>
      <c r="J2" s="129"/>
    </row>
    <row r="3" spans="1:16" x14ac:dyDescent="0.2">
      <c r="A3" s="129" t="s">
        <v>247</v>
      </c>
      <c r="B3" s="129"/>
      <c r="C3" s="129"/>
      <c r="D3" s="129"/>
      <c r="E3" s="129"/>
      <c r="F3" s="129"/>
      <c r="G3" s="129"/>
      <c r="H3" s="129"/>
      <c r="I3" s="129"/>
      <c r="J3" s="129"/>
    </row>
    <row r="4" spans="1:16" ht="9.75" customHeight="1" thickBot="1" x14ac:dyDescent="0.25">
      <c r="A4" s="54"/>
      <c r="B4" s="73"/>
      <c r="C4" s="54" t="s">
        <v>162</v>
      </c>
      <c r="D4" s="73"/>
      <c r="E4" s="54"/>
      <c r="F4" s="54"/>
      <c r="G4" s="73"/>
      <c r="H4" s="54"/>
      <c r="I4" s="73"/>
      <c r="J4" s="73"/>
    </row>
    <row r="5" spans="1:16" ht="12" customHeight="1" thickTop="1" thickBot="1" x14ac:dyDescent="0.25">
      <c r="A5" s="127" t="s">
        <v>163</v>
      </c>
      <c r="B5" s="127"/>
      <c r="C5" s="127"/>
      <c r="D5" s="127"/>
      <c r="E5" s="127"/>
      <c r="F5" s="127"/>
      <c r="G5" s="127"/>
      <c r="H5" s="127"/>
      <c r="I5" s="127"/>
      <c r="J5" s="127"/>
    </row>
    <row r="6" spans="1:16" ht="15.75" customHeight="1" thickTop="1" x14ac:dyDescent="0.2">
      <c r="A6" s="131" t="s">
        <v>164</v>
      </c>
      <c r="B6" s="131"/>
      <c r="C6" s="21" t="s">
        <v>165</v>
      </c>
      <c r="D6" s="22"/>
      <c r="E6" s="22"/>
      <c r="F6" s="131" t="s">
        <v>166</v>
      </c>
      <c r="G6" s="131"/>
      <c r="H6" s="23" t="s">
        <v>167</v>
      </c>
      <c r="I6" s="22"/>
      <c r="J6" s="22"/>
    </row>
    <row r="7" spans="1:16" x14ac:dyDescent="0.2">
      <c r="A7" s="74" t="s">
        <v>168</v>
      </c>
      <c r="B7" s="25">
        <v>1</v>
      </c>
      <c r="C7" s="26" t="s">
        <v>78</v>
      </c>
      <c r="D7" s="25" t="s">
        <v>169</v>
      </c>
      <c r="E7" s="25"/>
      <c r="F7" s="27" t="s">
        <v>168</v>
      </c>
      <c r="G7" s="28">
        <v>2</v>
      </c>
      <c r="H7" s="27" t="s">
        <v>80</v>
      </c>
      <c r="I7" s="28" t="s">
        <v>169</v>
      </c>
      <c r="J7" s="28"/>
    </row>
    <row r="8" spans="1:16" x14ac:dyDescent="0.2">
      <c r="A8" s="29" t="s">
        <v>7</v>
      </c>
      <c r="B8" s="30">
        <v>1</v>
      </c>
      <c r="C8" s="31" t="s">
        <v>8</v>
      </c>
      <c r="D8" s="28">
        <v>3</v>
      </c>
      <c r="E8" s="28"/>
      <c r="F8" s="29" t="s">
        <v>7</v>
      </c>
      <c r="G8" s="28">
        <v>5</v>
      </c>
      <c r="H8" s="27" t="s">
        <v>12</v>
      </c>
      <c r="I8" s="28">
        <v>3</v>
      </c>
      <c r="J8" s="28"/>
    </row>
    <row r="9" spans="1:16" x14ac:dyDescent="0.2">
      <c r="A9" s="29" t="s">
        <v>7</v>
      </c>
      <c r="B9" s="30">
        <v>2</v>
      </c>
      <c r="C9" s="31" t="s">
        <v>170</v>
      </c>
      <c r="D9" s="28">
        <v>3</v>
      </c>
      <c r="E9" s="28"/>
      <c r="F9" s="29" t="s">
        <v>7</v>
      </c>
      <c r="G9" s="34">
        <v>6</v>
      </c>
      <c r="H9" s="35" t="s">
        <v>13</v>
      </c>
      <c r="I9" s="28">
        <v>3</v>
      </c>
      <c r="J9" s="28"/>
      <c r="P9" s="30"/>
    </row>
    <row r="10" spans="1:16" x14ac:dyDescent="0.2">
      <c r="A10" s="29" t="s">
        <v>7</v>
      </c>
      <c r="B10" s="47">
        <v>3</v>
      </c>
      <c r="C10" s="33" t="s">
        <v>248</v>
      </c>
      <c r="D10" s="28">
        <v>3</v>
      </c>
      <c r="E10" s="28"/>
      <c r="F10" s="48" t="s">
        <v>235</v>
      </c>
      <c r="G10" s="37">
        <v>10</v>
      </c>
      <c r="H10" s="48" t="s">
        <v>227</v>
      </c>
      <c r="I10" s="30">
        <v>3</v>
      </c>
    </row>
    <row r="11" spans="1:16" ht="14.25" customHeight="1" x14ac:dyDescent="0.2">
      <c r="A11" s="29" t="s">
        <v>7</v>
      </c>
      <c r="B11" s="32">
        <v>4</v>
      </c>
      <c r="C11" s="33" t="s">
        <v>11</v>
      </c>
      <c r="D11" s="28">
        <v>3</v>
      </c>
      <c r="E11" s="28"/>
      <c r="F11" s="38" t="s">
        <v>230</v>
      </c>
      <c r="G11" s="32">
        <v>103</v>
      </c>
      <c r="H11" s="38" t="s">
        <v>28</v>
      </c>
      <c r="I11" s="37">
        <v>3</v>
      </c>
      <c r="J11" s="30" t="s">
        <v>231</v>
      </c>
      <c r="O11" s="37"/>
    </row>
    <row r="12" spans="1:16" ht="14.25" customHeight="1" x14ac:dyDescent="0.2">
      <c r="A12" s="36" t="s">
        <v>171</v>
      </c>
      <c r="B12" s="32">
        <v>1</v>
      </c>
      <c r="C12" s="33" t="s">
        <v>67</v>
      </c>
      <c r="D12" s="37">
        <v>3</v>
      </c>
      <c r="E12" s="37"/>
      <c r="F12" s="31" t="s">
        <v>25</v>
      </c>
      <c r="G12" s="32">
        <v>101</v>
      </c>
      <c r="H12" s="38" t="s">
        <v>39</v>
      </c>
      <c r="I12" s="37">
        <v>3</v>
      </c>
      <c r="J12" s="30" t="s">
        <v>96</v>
      </c>
    </row>
    <row r="13" spans="1:16" ht="14.25" customHeight="1" x14ac:dyDescent="0.2">
      <c r="A13" s="36" t="s">
        <v>230</v>
      </c>
      <c r="B13" s="32">
        <v>101</v>
      </c>
      <c r="C13" s="33" t="s">
        <v>26</v>
      </c>
      <c r="D13" s="37">
        <v>3</v>
      </c>
      <c r="E13" s="37" t="s">
        <v>173</v>
      </c>
      <c r="F13" s="38" t="s">
        <v>25</v>
      </c>
      <c r="G13" s="28">
        <v>102</v>
      </c>
      <c r="H13" s="27" t="s">
        <v>33</v>
      </c>
      <c r="I13" s="28">
        <v>3</v>
      </c>
      <c r="J13" s="28" t="s">
        <v>231</v>
      </c>
    </row>
    <row r="14" spans="1:16" ht="15" customHeight="1" x14ac:dyDescent="0.2">
      <c r="A14" s="36" t="s">
        <v>230</v>
      </c>
      <c r="B14" s="32">
        <v>102</v>
      </c>
      <c r="C14" s="33" t="s">
        <v>27</v>
      </c>
      <c r="D14" s="37">
        <v>3</v>
      </c>
      <c r="E14" s="37" t="s">
        <v>173</v>
      </c>
      <c r="F14" s="27" t="s">
        <v>176</v>
      </c>
      <c r="G14" s="28">
        <v>2</v>
      </c>
      <c r="H14" s="27" t="s">
        <v>177</v>
      </c>
      <c r="I14" s="28">
        <v>2</v>
      </c>
      <c r="J14" s="28"/>
      <c r="K14" s="67"/>
    </row>
    <row r="15" spans="1:16" x14ac:dyDescent="0.2">
      <c r="A15" s="40" t="s">
        <v>178</v>
      </c>
      <c r="B15" s="28">
        <v>1</v>
      </c>
      <c r="C15" s="27" t="s">
        <v>179</v>
      </c>
      <c r="D15" s="28">
        <v>2</v>
      </c>
      <c r="E15" s="28"/>
      <c r="F15" s="27" t="s">
        <v>180</v>
      </c>
      <c r="G15" s="28">
        <v>2</v>
      </c>
      <c r="H15" s="27" t="s">
        <v>181</v>
      </c>
      <c r="I15" s="42">
        <v>3</v>
      </c>
      <c r="J15" s="42"/>
    </row>
    <row r="16" spans="1:16" x14ac:dyDescent="0.2">
      <c r="A16" s="40" t="s">
        <v>180</v>
      </c>
      <c r="B16" s="28">
        <v>1</v>
      </c>
      <c r="C16" s="27" t="s">
        <v>182</v>
      </c>
      <c r="D16" s="42">
        <v>3</v>
      </c>
      <c r="E16" s="28"/>
      <c r="I16" s="30">
        <f>SUM(I8:I15)</f>
        <v>23</v>
      </c>
    </row>
    <row r="17" spans="1:11" ht="13.5" thickBot="1" x14ac:dyDescent="0.25">
      <c r="D17" s="30">
        <f>SUM(D7:D16)</f>
        <v>26</v>
      </c>
      <c r="E17" s="30"/>
    </row>
    <row r="18" spans="1:11" ht="15.6" customHeight="1" thickTop="1" thickBot="1" x14ac:dyDescent="0.25">
      <c r="A18" s="127" t="s">
        <v>229</v>
      </c>
      <c r="B18" s="127"/>
      <c r="C18" s="127"/>
      <c r="D18" s="127"/>
      <c r="E18" s="127"/>
      <c r="F18" s="127"/>
      <c r="G18" s="127"/>
      <c r="H18" s="127"/>
      <c r="I18" s="127"/>
      <c r="J18" s="127"/>
    </row>
    <row r="19" spans="1:11" ht="13.5" thickTop="1" x14ac:dyDescent="0.2">
      <c r="A19" s="27" t="s">
        <v>7</v>
      </c>
      <c r="B19" s="28">
        <v>8</v>
      </c>
      <c r="C19" s="27" t="s">
        <v>15</v>
      </c>
      <c r="D19" s="28">
        <v>3</v>
      </c>
      <c r="E19" s="28"/>
      <c r="F19" s="27"/>
      <c r="G19" s="28"/>
      <c r="H19" s="27"/>
      <c r="I19" s="28"/>
      <c r="J19" s="28"/>
    </row>
    <row r="20" spans="1:11" x14ac:dyDescent="0.2">
      <c r="A20" s="48" t="s">
        <v>233</v>
      </c>
      <c r="B20" s="37">
        <v>11</v>
      </c>
      <c r="C20" s="75" t="s">
        <v>246</v>
      </c>
      <c r="D20" s="28">
        <v>3</v>
      </c>
      <c r="E20" s="28"/>
      <c r="F20" s="27"/>
      <c r="G20" s="28"/>
      <c r="H20" s="27"/>
      <c r="I20" s="28"/>
      <c r="J20" s="28"/>
    </row>
    <row r="21" spans="1:11" x14ac:dyDescent="0.2">
      <c r="A21" s="31" t="s">
        <v>172</v>
      </c>
      <c r="B21" s="30">
        <v>101</v>
      </c>
      <c r="C21" s="31" t="s">
        <v>214</v>
      </c>
      <c r="D21" s="52">
        <v>3</v>
      </c>
      <c r="E21" s="31" t="s">
        <v>232</v>
      </c>
      <c r="F21" s="27"/>
      <c r="G21" s="28"/>
      <c r="H21" s="27"/>
      <c r="I21" s="28"/>
      <c r="J21" s="28"/>
    </row>
    <row r="22" spans="1:11" ht="13.5" thickBot="1" x14ac:dyDescent="0.25">
      <c r="A22" s="48"/>
      <c r="B22" s="37"/>
      <c r="C22" s="75"/>
      <c r="D22" s="28">
        <f>SUM(D19:D21)</f>
        <v>9</v>
      </c>
      <c r="E22" s="28"/>
      <c r="F22" s="27"/>
      <c r="G22" s="28"/>
      <c r="H22" s="27"/>
      <c r="I22" s="28"/>
      <c r="J22" s="28"/>
    </row>
    <row r="23" spans="1:11" ht="15.6" customHeight="1" thickTop="1" thickBot="1" x14ac:dyDescent="0.25">
      <c r="A23" s="127" t="s">
        <v>184</v>
      </c>
      <c r="B23" s="127"/>
      <c r="C23" s="127"/>
      <c r="D23" s="127"/>
      <c r="E23" s="127"/>
      <c r="F23" s="127"/>
      <c r="G23" s="127"/>
      <c r="H23" s="127"/>
      <c r="I23" s="127"/>
      <c r="J23" s="127"/>
    </row>
    <row r="24" spans="1:11" ht="13.5" thickTop="1" x14ac:dyDescent="0.2">
      <c r="A24" s="131" t="s">
        <v>185</v>
      </c>
      <c r="B24" s="131"/>
      <c r="C24" s="45" t="s">
        <v>167</v>
      </c>
      <c r="D24" s="22"/>
      <c r="E24" s="22"/>
      <c r="F24" s="131" t="s">
        <v>166</v>
      </c>
      <c r="G24" s="131"/>
      <c r="H24" s="45" t="s">
        <v>167</v>
      </c>
      <c r="I24" s="22"/>
      <c r="J24" s="22"/>
    </row>
    <row r="25" spans="1:11" ht="14.25" customHeight="1" x14ac:dyDescent="0.2">
      <c r="A25" s="26" t="s">
        <v>168</v>
      </c>
      <c r="B25" s="25">
        <v>3</v>
      </c>
      <c r="C25" s="26" t="s">
        <v>186</v>
      </c>
      <c r="D25" s="25" t="s">
        <v>169</v>
      </c>
      <c r="E25" s="25"/>
      <c r="F25" s="26" t="s">
        <v>168</v>
      </c>
      <c r="G25" s="25">
        <v>4</v>
      </c>
      <c r="H25" s="26" t="s">
        <v>84</v>
      </c>
      <c r="I25" s="47" t="s">
        <v>169</v>
      </c>
      <c r="J25" s="47"/>
    </row>
    <row r="26" spans="1:11" ht="12.75" customHeight="1" x14ac:dyDescent="0.2">
      <c r="A26" s="29" t="s">
        <v>7</v>
      </c>
      <c r="B26" s="37">
        <v>7</v>
      </c>
      <c r="C26" s="26" t="s">
        <v>14</v>
      </c>
      <c r="D26" s="28">
        <v>3</v>
      </c>
      <c r="E26" s="28"/>
      <c r="F26" s="31" t="s">
        <v>235</v>
      </c>
      <c r="G26" s="30">
        <v>12</v>
      </c>
      <c r="H26" s="33" t="s">
        <v>228</v>
      </c>
      <c r="I26" s="28">
        <v>3</v>
      </c>
      <c r="J26" s="32"/>
    </row>
    <row r="27" spans="1:11" ht="15" customHeight="1" x14ac:dyDescent="0.2">
      <c r="A27" s="26" t="s">
        <v>7</v>
      </c>
      <c r="B27" s="25">
        <v>9</v>
      </c>
      <c r="C27" s="33" t="s">
        <v>16</v>
      </c>
      <c r="D27" s="28">
        <v>3</v>
      </c>
      <c r="F27" s="48" t="s">
        <v>187</v>
      </c>
      <c r="G27" s="37">
        <v>2</v>
      </c>
      <c r="H27" s="75" t="s">
        <v>156</v>
      </c>
      <c r="I27" s="32">
        <v>3</v>
      </c>
    </row>
    <row r="28" spans="1:11" ht="15" customHeight="1" x14ac:dyDescent="0.2">
      <c r="A28" s="26" t="s">
        <v>187</v>
      </c>
      <c r="B28" s="25">
        <v>1</v>
      </c>
      <c r="C28" s="33" t="s">
        <v>154</v>
      </c>
      <c r="D28" s="25">
        <v>3</v>
      </c>
      <c r="E28" s="28"/>
      <c r="F28" s="27" t="s">
        <v>230</v>
      </c>
      <c r="G28" s="28">
        <v>106</v>
      </c>
      <c r="H28" s="27" t="s">
        <v>30</v>
      </c>
      <c r="I28" s="30">
        <v>3</v>
      </c>
      <c r="J28" s="30" t="s">
        <v>189</v>
      </c>
    </row>
    <row r="29" spans="1:11" x14ac:dyDescent="0.2">
      <c r="A29" s="31" t="s">
        <v>230</v>
      </c>
      <c r="B29" s="30">
        <v>104</v>
      </c>
      <c r="C29" s="31" t="s">
        <v>29</v>
      </c>
      <c r="D29" s="28">
        <v>3</v>
      </c>
      <c r="E29" s="28" t="s">
        <v>190</v>
      </c>
      <c r="F29" s="29" t="s">
        <v>25</v>
      </c>
      <c r="G29" s="30">
        <v>201</v>
      </c>
      <c r="H29" s="29" t="s">
        <v>204</v>
      </c>
      <c r="I29" s="28">
        <v>3</v>
      </c>
      <c r="J29" s="30" t="s">
        <v>205</v>
      </c>
      <c r="K29" s="27"/>
    </row>
    <row r="30" spans="1:11" ht="13.5" x14ac:dyDescent="0.25">
      <c r="A30" s="31" t="s">
        <v>230</v>
      </c>
      <c r="B30" s="30">
        <v>105</v>
      </c>
      <c r="C30" s="71" t="s">
        <v>213</v>
      </c>
      <c r="D30" s="28">
        <v>3</v>
      </c>
      <c r="E30" s="28" t="s">
        <v>190</v>
      </c>
      <c r="F30" s="31" t="s">
        <v>175</v>
      </c>
      <c r="G30" s="30">
        <v>202</v>
      </c>
      <c r="H30" s="31" t="s">
        <v>40</v>
      </c>
      <c r="I30" s="30">
        <v>3</v>
      </c>
      <c r="J30" s="30" t="s">
        <v>191</v>
      </c>
    </row>
    <row r="31" spans="1:11" x14ac:dyDescent="0.2">
      <c r="A31" s="27" t="s">
        <v>172</v>
      </c>
      <c r="B31" s="28">
        <v>102</v>
      </c>
      <c r="C31" s="27" t="s">
        <v>53</v>
      </c>
      <c r="D31" s="28">
        <v>3</v>
      </c>
      <c r="E31" s="28" t="s">
        <v>190</v>
      </c>
      <c r="F31" s="31" t="s">
        <v>172</v>
      </c>
      <c r="G31" s="30">
        <v>104</v>
      </c>
      <c r="H31" s="31" t="s">
        <v>52</v>
      </c>
      <c r="I31" s="28">
        <v>3</v>
      </c>
      <c r="J31" s="28" t="s">
        <v>203</v>
      </c>
    </row>
    <row r="32" spans="1:11" x14ac:dyDescent="0.2">
      <c r="A32" s="31" t="s">
        <v>172</v>
      </c>
      <c r="B32" s="30">
        <v>103</v>
      </c>
      <c r="C32" s="27" t="s">
        <v>51</v>
      </c>
      <c r="D32" s="28">
        <v>3</v>
      </c>
      <c r="E32" s="28" t="s">
        <v>190</v>
      </c>
      <c r="F32" s="48" t="s">
        <v>172</v>
      </c>
      <c r="G32" s="37">
        <v>105</v>
      </c>
      <c r="H32" s="48" t="s">
        <v>58</v>
      </c>
      <c r="I32" s="32">
        <v>3</v>
      </c>
      <c r="J32" s="32"/>
    </row>
    <row r="33" spans="1:10" ht="16.5" customHeight="1" x14ac:dyDescent="0.2">
      <c r="A33" s="26" t="s">
        <v>178</v>
      </c>
      <c r="B33" s="25">
        <v>3</v>
      </c>
      <c r="C33" s="26" t="s">
        <v>194</v>
      </c>
      <c r="D33" s="53">
        <v>2</v>
      </c>
      <c r="E33" s="25"/>
      <c r="F33" s="48" t="s">
        <v>178</v>
      </c>
      <c r="G33" s="37">
        <v>4</v>
      </c>
      <c r="H33" s="48" t="s">
        <v>193</v>
      </c>
      <c r="I33" s="52">
        <v>2</v>
      </c>
    </row>
    <row r="34" spans="1:10" ht="15.75" customHeight="1" thickBot="1" x14ac:dyDescent="0.25">
      <c r="B34" s="31"/>
      <c r="D34" s="37">
        <f>SUM(D26:D33)</f>
        <v>23</v>
      </c>
      <c r="I34" s="30">
        <f>SUM(I26:I33)</f>
        <v>23</v>
      </c>
    </row>
    <row r="35" spans="1:10" ht="12" customHeight="1" thickTop="1" thickBot="1" x14ac:dyDescent="0.25">
      <c r="A35" s="127" t="s">
        <v>229</v>
      </c>
      <c r="B35" s="127"/>
      <c r="C35" s="127"/>
      <c r="D35" s="127"/>
      <c r="E35" s="127"/>
      <c r="F35" s="127"/>
      <c r="G35" s="127"/>
      <c r="H35" s="127"/>
      <c r="I35" s="127"/>
      <c r="J35" s="127"/>
    </row>
    <row r="36" spans="1:10" ht="13.5" thickTop="1" x14ac:dyDescent="0.2">
      <c r="A36" s="38" t="s">
        <v>25</v>
      </c>
      <c r="B36" s="28">
        <v>203</v>
      </c>
      <c r="C36" s="31" t="s">
        <v>41</v>
      </c>
      <c r="D36" s="28">
        <v>3</v>
      </c>
      <c r="E36" s="28" t="s">
        <v>195</v>
      </c>
      <c r="F36" s="27"/>
      <c r="G36" s="28"/>
      <c r="H36" s="27"/>
      <c r="I36" s="28"/>
      <c r="J36" s="28"/>
    </row>
    <row r="37" spans="1:10" x14ac:dyDescent="0.2">
      <c r="A37" s="31" t="s">
        <v>175</v>
      </c>
      <c r="B37" s="30">
        <v>204</v>
      </c>
      <c r="C37" s="31" t="s">
        <v>196</v>
      </c>
      <c r="D37" s="52">
        <v>3</v>
      </c>
      <c r="E37" s="30" t="s">
        <v>197</v>
      </c>
      <c r="I37" s="31"/>
    </row>
    <row r="38" spans="1:10" ht="15.75" customHeight="1" thickBot="1" x14ac:dyDescent="0.25">
      <c r="D38" s="30">
        <f>SUM(D36:D37)</f>
        <v>6</v>
      </c>
      <c r="F38" s="27"/>
      <c r="G38" s="28"/>
      <c r="H38" s="27"/>
      <c r="I38" s="28"/>
      <c r="J38" s="28"/>
    </row>
    <row r="39" spans="1:10" ht="15.6" customHeight="1" thickTop="1" thickBot="1" x14ac:dyDescent="0.25">
      <c r="A39" s="127" t="s">
        <v>198</v>
      </c>
      <c r="B39" s="127"/>
      <c r="C39" s="127"/>
      <c r="D39" s="127"/>
      <c r="E39" s="127"/>
      <c r="F39" s="127"/>
      <c r="G39" s="127"/>
      <c r="H39" s="127"/>
      <c r="I39" s="127"/>
      <c r="J39" s="127"/>
    </row>
    <row r="40" spans="1:10" ht="13.5" thickTop="1" x14ac:dyDescent="0.2">
      <c r="A40" s="131" t="s">
        <v>185</v>
      </c>
      <c r="B40" s="131"/>
      <c r="C40" s="45" t="s">
        <v>167</v>
      </c>
      <c r="D40" s="22"/>
      <c r="E40" s="22"/>
      <c r="F40" s="131" t="s">
        <v>166</v>
      </c>
      <c r="G40" s="131"/>
      <c r="H40" s="45" t="s">
        <v>167</v>
      </c>
      <c r="I40" s="22"/>
      <c r="J40" s="22"/>
    </row>
    <row r="41" spans="1:10" ht="15" customHeight="1" x14ac:dyDescent="0.2">
      <c r="A41" s="26" t="s">
        <v>168</v>
      </c>
      <c r="B41" s="25">
        <v>5</v>
      </c>
      <c r="C41" s="26" t="s">
        <v>86</v>
      </c>
      <c r="D41" s="25" t="s">
        <v>169</v>
      </c>
      <c r="E41" s="25"/>
      <c r="F41" s="26" t="s">
        <v>168</v>
      </c>
      <c r="G41" s="25">
        <v>6</v>
      </c>
      <c r="H41" s="26" t="s">
        <v>199</v>
      </c>
      <c r="I41" s="37" t="s">
        <v>169</v>
      </c>
    </row>
    <row r="42" spans="1:10" x14ac:dyDescent="0.2">
      <c r="A42" s="31" t="s">
        <v>175</v>
      </c>
      <c r="B42" s="30">
        <v>301</v>
      </c>
      <c r="C42" s="31" t="s">
        <v>221</v>
      </c>
      <c r="D42" s="30">
        <v>3</v>
      </c>
      <c r="F42" s="31" t="s">
        <v>25</v>
      </c>
      <c r="G42" s="30">
        <v>305</v>
      </c>
      <c r="H42" s="27" t="s">
        <v>223</v>
      </c>
      <c r="I42" s="30">
        <v>3</v>
      </c>
      <c r="J42" s="30" t="s">
        <v>220</v>
      </c>
    </row>
    <row r="43" spans="1:10" x14ac:dyDescent="0.2">
      <c r="A43" s="27" t="s">
        <v>25</v>
      </c>
      <c r="B43" s="30">
        <v>302</v>
      </c>
      <c r="C43" s="29" t="s">
        <v>44</v>
      </c>
      <c r="D43" s="28">
        <v>3</v>
      </c>
      <c r="E43" s="31" t="s">
        <v>202</v>
      </c>
      <c r="F43" s="31" t="s">
        <v>172</v>
      </c>
      <c r="G43" s="30">
        <v>108</v>
      </c>
      <c r="H43" s="31" t="s">
        <v>64</v>
      </c>
      <c r="I43" s="28">
        <v>3</v>
      </c>
      <c r="J43" s="30" t="s">
        <v>217</v>
      </c>
    </row>
    <row r="44" spans="1:10" x14ac:dyDescent="0.2">
      <c r="A44" s="27" t="s">
        <v>175</v>
      </c>
      <c r="B44" s="28">
        <v>303</v>
      </c>
      <c r="C44" s="27" t="s">
        <v>34</v>
      </c>
      <c r="D44" s="42">
        <v>3</v>
      </c>
      <c r="F44" s="31" t="s">
        <v>172</v>
      </c>
      <c r="G44" s="28">
        <v>109</v>
      </c>
      <c r="H44" s="27" t="s">
        <v>35</v>
      </c>
      <c r="I44" s="28">
        <v>3</v>
      </c>
      <c r="J44" s="28" t="s">
        <v>192</v>
      </c>
    </row>
    <row r="45" spans="1:10" x14ac:dyDescent="0.2">
      <c r="A45" s="31" t="s">
        <v>175</v>
      </c>
      <c r="B45" s="28">
        <v>304</v>
      </c>
      <c r="C45" s="27" t="s">
        <v>219</v>
      </c>
      <c r="D45" s="28">
        <v>3</v>
      </c>
      <c r="E45" s="28" t="s">
        <v>203</v>
      </c>
      <c r="F45" s="27" t="s">
        <v>172</v>
      </c>
      <c r="G45" s="28">
        <v>110</v>
      </c>
      <c r="H45" s="27" t="s">
        <v>60</v>
      </c>
      <c r="I45" s="28">
        <v>3</v>
      </c>
      <c r="J45" s="28" t="s">
        <v>216</v>
      </c>
    </row>
    <row r="46" spans="1:10" x14ac:dyDescent="0.2">
      <c r="A46" s="60" t="s">
        <v>172</v>
      </c>
      <c r="B46" s="37">
        <v>106</v>
      </c>
      <c r="C46" s="75" t="s">
        <v>200</v>
      </c>
      <c r="D46" s="32">
        <v>3</v>
      </c>
      <c r="E46" s="31" t="s">
        <v>201</v>
      </c>
      <c r="F46" s="31" t="s">
        <v>172</v>
      </c>
      <c r="G46" s="30">
        <v>111</v>
      </c>
      <c r="H46" s="29" t="s">
        <v>222</v>
      </c>
      <c r="I46" s="30">
        <v>3</v>
      </c>
      <c r="J46" s="30" t="s">
        <v>183</v>
      </c>
    </row>
    <row r="47" spans="1:10" x14ac:dyDescent="0.2">
      <c r="A47" s="31" t="s">
        <v>172</v>
      </c>
      <c r="B47" s="30">
        <v>107</v>
      </c>
      <c r="C47" s="31" t="s">
        <v>218</v>
      </c>
      <c r="D47" s="30">
        <v>3</v>
      </c>
      <c r="E47" s="31" t="s">
        <v>217</v>
      </c>
      <c r="F47" s="27" t="s">
        <v>46</v>
      </c>
      <c r="G47" s="28">
        <v>101</v>
      </c>
      <c r="H47" s="31" t="s">
        <v>206</v>
      </c>
      <c r="I47" s="42">
        <v>3</v>
      </c>
      <c r="J47" s="30" t="s">
        <v>207</v>
      </c>
    </row>
    <row r="48" spans="1:10" ht="13.5" thickBot="1" x14ac:dyDescent="0.25">
      <c r="A48" s="27"/>
      <c r="B48" s="62"/>
      <c r="C48" s="27"/>
      <c r="D48" s="37">
        <f>SUM(D42:D47)</f>
        <v>18</v>
      </c>
      <c r="E48" s="37"/>
      <c r="F48" s="27"/>
      <c r="G48" s="28"/>
      <c r="H48" s="27"/>
      <c r="I48" s="28">
        <f>SUM(I41:I47)</f>
        <v>18</v>
      </c>
      <c r="J48" s="28"/>
    </row>
    <row r="49" spans="1:10" ht="15.6" customHeight="1" thickTop="1" thickBot="1" x14ac:dyDescent="0.25">
      <c r="A49" s="127" t="s">
        <v>209</v>
      </c>
      <c r="B49" s="127"/>
      <c r="C49" s="127"/>
      <c r="D49" s="127"/>
      <c r="E49" s="127"/>
      <c r="F49" s="127"/>
      <c r="G49" s="127"/>
      <c r="H49" s="127"/>
      <c r="I49" s="127"/>
      <c r="J49" s="127"/>
    </row>
    <row r="50" spans="1:10" ht="13.5" thickTop="1" x14ac:dyDescent="0.2">
      <c r="A50" s="131" t="s">
        <v>185</v>
      </c>
      <c r="B50" s="131"/>
      <c r="C50" s="45" t="s">
        <v>167</v>
      </c>
      <c r="D50" s="22"/>
      <c r="E50" s="22"/>
      <c r="F50" s="131" t="s">
        <v>166</v>
      </c>
      <c r="G50" s="131"/>
      <c r="H50" s="45" t="s">
        <v>167</v>
      </c>
      <c r="I50" s="22"/>
      <c r="J50" s="22"/>
    </row>
    <row r="51" spans="1:10" x14ac:dyDescent="0.2">
      <c r="A51" s="35" t="s">
        <v>25</v>
      </c>
      <c r="B51" s="34">
        <v>401</v>
      </c>
      <c r="C51" s="35" t="s">
        <v>210</v>
      </c>
      <c r="D51" s="65">
        <v>3</v>
      </c>
      <c r="E51" s="65" t="s">
        <v>211</v>
      </c>
      <c r="F51" s="31" t="s">
        <v>237</v>
      </c>
      <c r="G51" s="30">
        <v>101</v>
      </c>
      <c r="H51" s="31" t="s">
        <v>42</v>
      </c>
      <c r="I51" s="42">
        <v>6</v>
      </c>
    </row>
    <row r="52" spans="1:10" x14ac:dyDescent="0.2">
      <c r="A52" s="29" t="s">
        <v>172</v>
      </c>
      <c r="B52" s="30">
        <v>112</v>
      </c>
      <c r="C52" s="29" t="s">
        <v>208</v>
      </c>
      <c r="D52" s="28">
        <v>3</v>
      </c>
      <c r="E52" s="28" t="s">
        <v>202</v>
      </c>
      <c r="I52" s="66">
        <v>6</v>
      </c>
    </row>
    <row r="53" spans="1:10" x14ac:dyDescent="0.2">
      <c r="A53" s="67" t="s">
        <v>46</v>
      </c>
      <c r="B53" s="34">
        <v>102</v>
      </c>
      <c r="C53" s="31" t="s">
        <v>212</v>
      </c>
      <c r="D53" s="69">
        <v>3</v>
      </c>
      <c r="F53" s="35"/>
      <c r="G53" s="65"/>
      <c r="H53" s="35"/>
    </row>
    <row r="54" spans="1:10" x14ac:dyDescent="0.2">
      <c r="D54" s="65">
        <f>SUM(D51:D53)</f>
        <v>9</v>
      </c>
    </row>
    <row r="55" spans="1:10" x14ac:dyDescent="0.2">
      <c r="A55" s="67"/>
      <c r="B55" s="34"/>
      <c r="E55" s="65"/>
    </row>
    <row r="57" spans="1:10" x14ac:dyDescent="0.2">
      <c r="A57" s="70"/>
    </row>
  </sheetData>
  <mergeCells count="17">
    <mergeCell ref="A39:J39"/>
    <mergeCell ref="A1:J1"/>
    <mergeCell ref="A2:J2"/>
    <mergeCell ref="A3:J3"/>
    <mergeCell ref="A5:J5"/>
    <mergeCell ref="A6:B6"/>
    <mergeCell ref="F6:G6"/>
    <mergeCell ref="A18:J18"/>
    <mergeCell ref="A23:J23"/>
    <mergeCell ref="A24:B24"/>
    <mergeCell ref="F24:G24"/>
    <mergeCell ref="A35:J35"/>
    <mergeCell ref="A40:B40"/>
    <mergeCell ref="F40:G40"/>
    <mergeCell ref="A49:J49"/>
    <mergeCell ref="A50:B50"/>
    <mergeCell ref="F50:G50"/>
  </mergeCells>
  <pageMargins left="0.7" right="0.37" top="0.75" bottom="0.93" header="0.3" footer="0.3"/>
  <pageSetup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EF168-31BE-41C6-A4E3-F5AD369A8BAD}">
  <dimension ref="A1:I89"/>
  <sheetViews>
    <sheetView topLeftCell="A67" zoomScaleNormal="100" workbookViewId="0">
      <selection activeCell="E51" sqref="E51"/>
    </sheetView>
  </sheetViews>
  <sheetFormatPr defaultColWidth="9.28515625" defaultRowHeight="15.75" x14ac:dyDescent="0.25"/>
  <cols>
    <col min="1" max="1" width="1.7109375" style="1" customWidth="1"/>
    <col min="2" max="2" width="7.7109375" style="1" customWidth="1"/>
    <col min="3" max="3" width="6.7109375" style="10" customWidth="1"/>
    <col min="4" max="4" width="50.42578125" style="1" customWidth="1"/>
    <col min="5" max="5" width="7.28515625" style="2" customWidth="1"/>
    <col min="6" max="6" width="7.7109375" style="1" customWidth="1"/>
    <col min="7" max="7" width="5" style="6" customWidth="1"/>
    <col min="8" max="8" width="6.28515625" style="8" customWidth="1"/>
    <col min="9" max="9" width="3.7109375" style="1" customWidth="1"/>
    <col min="10" max="16384" width="9.28515625" style="1"/>
  </cols>
  <sheetData>
    <row r="1" spans="1:9" ht="18.75" x14ac:dyDescent="0.3">
      <c r="A1" s="125" t="s">
        <v>1</v>
      </c>
      <c r="B1" s="125"/>
      <c r="C1" s="125"/>
      <c r="D1" s="125"/>
      <c r="E1" s="125"/>
      <c r="F1" s="125"/>
      <c r="G1" s="125"/>
      <c r="H1" s="125"/>
      <c r="I1" s="125"/>
    </row>
    <row r="2" spans="1:9" x14ac:dyDescent="0.25">
      <c r="A2" s="122" t="s">
        <v>285</v>
      </c>
      <c r="B2" s="122"/>
      <c r="C2" s="122"/>
      <c r="D2" s="122"/>
      <c r="E2" s="122"/>
      <c r="F2" s="122"/>
      <c r="G2" s="122"/>
      <c r="H2" s="122"/>
      <c r="I2" s="122"/>
    </row>
    <row r="3" spans="1:9" x14ac:dyDescent="0.25">
      <c r="A3" s="122"/>
      <c r="B3" s="122"/>
      <c r="C3" s="122"/>
      <c r="D3" s="122"/>
      <c r="E3" s="122"/>
      <c r="F3" s="122"/>
      <c r="G3" s="122"/>
      <c r="H3" s="122"/>
      <c r="I3" s="122"/>
    </row>
    <row r="4" spans="1:9" x14ac:dyDescent="0.25">
      <c r="A4" s="121" t="s">
        <v>4</v>
      </c>
      <c r="B4" s="121"/>
      <c r="C4" s="121"/>
      <c r="D4" s="121"/>
      <c r="E4" s="121"/>
      <c r="F4" s="121"/>
      <c r="G4" s="121"/>
      <c r="H4" s="121"/>
      <c r="I4" s="121"/>
    </row>
    <row r="5" spans="1:9" x14ac:dyDescent="0.25">
      <c r="A5" s="122" t="s">
        <v>286</v>
      </c>
      <c r="B5" s="122"/>
      <c r="C5" s="122"/>
      <c r="D5" s="122"/>
      <c r="E5" s="122"/>
      <c r="F5" s="122"/>
      <c r="G5" s="122"/>
      <c r="H5" s="122"/>
      <c r="I5" s="122"/>
    </row>
    <row r="6" spans="1:9" x14ac:dyDescent="0.25">
      <c r="B6" s="2"/>
      <c r="C6" s="4"/>
      <c r="D6" s="2"/>
      <c r="F6" s="2"/>
      <c r="H6" s="6"/>
      <c r="I6" s="2"/>
    </row>
    <row r="7" spans="1:9" x14ac:dyDescent="0.25">
      <c r="B7" s="2"/>
      <c r="C7" s="4"/>
      <c r="D7" s="2"/>
      <c r="F7" s="2"/>
      <c r="H7" s="6"/>
      <c r="I7" s="2"/>
    </row>
    <row r="8" spans="1:9" x14ac:dyDescent="0.25">
      <c r="A8" s="6" t="s">
        <v>5</v>
      </c>
      <c r="B8" s="2"/>
      <c r="C8" s="4"/>
      <c r="D8" s="2"/>
      <c r="F8" s="2"/>
      <c r="G8" s="6">
        <f>SUM(E9:E24)</f>
        <v>45</v>
      </c>
      <c r="H8" s="6" t="s">
        <v>6</v>
      </c>
    </row>
    <row r="9" spans="1:9" x14ac:dyDescent="0.25">
      <c r="B9" s="2" t="s">
        <v>7</v>
      </c>
      <c r="C9" s="4">
        <v>1</v>
      </c>
      <c r="D9" s="1" t="s">
        <v>8</v>
      </c>
      <c r="E9" s="7">
        <v>3</v>
      </c>
      <c r="F9" s="2" t="s">
        <v>6</v>
      </c>
      <c r="H9" s="6"/>
    </row>
    <row r="10" spans="1:9" x14ac:dyDescent="0.25">
      <c r="B10" s="2" t="s">
        <v>7</v>
      </c>
      <c r="C10" s="4">
        <v>2</v>
      </c>
      <c r="D10" s="1" t="s">
        <v>9</v>
      </c>
      <c r="E10" s="7">
        <v>3</v>
      </c>
      <c r="F10" s="2" t="s">
        <v>6</v>
      </c>
      <c r="H10" s="6"/>
    </row>
    <row r="11" spans="1:9" x14ac:dyDescent="0.25">
      <c r="B11" s="2" t="s">
        <v>7</v>
      </c>
      <c r="C11" s="4">
        <v>3</v>
      </c>
      <c r="D11" s="1" t="s">
        <v>10</v>
      </c>
      <c r="E11" s="7">
        <v>3</v>
      </c>
      <c r="F11" s="2" t="s">
        <v>6</v>
      </c>
      <c r="H11" s="6"/>
    </row>
    <row r="12" spans="1:9" x14ac:dyDescent="0.25">
      <c r="B12" s="2" t="s">
        <v>7</v>
      </c>
      <c r="C12" s="4">
        <v>4</v>
      </c>
      <c r="D12" s="1" t="s">
        <v>11</v>
      </c>
      <c r="E12" s="7">
        <v>3</v>
      </c>
      <c r="F12" s="2" t="s">
        <v>6</v>
      </c>
      <c r="H12" s="6"/>
    </row>
    <row r="13" spans="1:9" x14ac:dyDescent="0.25">
      <c r="B13" s="2" t="s">
        <v>7</v>
      </c>
      <c r="C13" s="4">
        <v>5</v>
      </c>
      <c r="D13" s="1" t="s">
        <v>12</v>
      </c>
      <c r="E13" s="7">
        <v>3</v>
      </c>
      <c r="F13" s="2" t="s">
        <v>6</v>
      </c>
      <c r="H13" s="6"/>
    </row>
    <row r="14" spans="1:9" x14ac:dyDescent="0.25">
      <c r="B14" s="2" t="s">
        <v>7</v>
      </c>
      <c r="C14" s="4">
        <v>6</v>
      </c>
      <c r="D14" s="1" t="s">
        <v>13</v>
      </c>
      <c r="E14" s="7">
        <v>3</v>
      </c>
      <c r="F14" s="2" t="s">
        <v>6</v>
      </c>
      <c r="H14" s="6"/>
    </row>
    <row r="15" spans="1:9" x14ac:dyDescent="0.25">
      <c r="B15" s="2" t="s">
        <v>7</v>
      </c>
      <c r="C15" s="4">
        <v>7</v>
      </c>
      <c r="D15" s="1" t="s">
        <v>14</v>
      </c>
      <c r="E15" s="7">
        <v>3</v>
      </c>
      <c r="F15" s="2" t="s">
        <v>6</v>
      </c>
      <c r="H15" s="6"/>
    </row>
    <row r="16" spans="1:9" x14ac:dyDescent="0.25">
      <c r="B16" s="2" t="s">
        <v>7</v>
      </c>
      <c r="C16" s="4">
        <v>8</v>
      </c>
      <c r="D16" s="1" t="s">
        <v>15</v>
      </c>
      <c r="E16" s="7">
        <v>3</v>
      </c>
      <c r="F16" s="2" t="s">
        <v>6</v>
      </c>
      <c r="H16" s="6"/>
    </row>
    <row r="17" spans="1:9" x14ac:dyDescent="0.25">
      <c r="B17" s="2" t="s">
        <v>7</v>
      </c>
      <c r="C17" s="4">
        <v>9</v>
      </c>
      <c r="D17" s="1" t="s">
        <v>16</v>
      </c>
      <c r="E17" s="7">
        <v>3</v>
      </c>
      <c r="F17" s="2" t="s">
        <v>6</v>
      </c>
      <c r="H17" s="6"/>
    </row>
    <row r="18" spans="1:9" x14ac:dyDescent="0.25">
      <c r="B18" s="2"/>
      <c r="C18" s="4" t="s">
        <v>17</v>
      </c>
      <c r="E18" s="7"/>
      <c r="F18" s="2"/>
      <c r="H18" s="6"/>
    </row>
    <row r="19" spans="1:9" x14ac:dyDescent="0.25">
      <c r="B19" s="2" t="s">
        <v>233</v>
      </c>
      <c r="C19" s="4">
        <v>10</v>
      </c>
      <c r="D19" s="1" t="s">
        <v>224</v>
      </c>
      <c r="E19" s="7">
        <v>3</v>
      </c>
      <c r="F19" s="2" t="s">
        <v>6</v>
      </c>
      <c r="H19" s="6"/>
    </row>
    <row r="20" spans="1:9" x14ac:dyDescent="0.25">
      <c r="B20" s="2" t="s">
        <v>233</v>
      </c>
      <c r="C20" s="4">
        <v>11</v>
      </c>
      <c r="D20" s="1" t="s">
        <v>234</v>
      </c>
      <c r="E20" s="7">
        <v>3</v>
      </c>
      <c r="F20" s="2" t="s">
        <v>6</v>
      </c>
      <c r="H20" s="6"/>
    </row>
    <row r="21" spans="1:9" x14ac:dyDescent="0.25">
      <c r="B21" s="2" t="s">
        <v>233</v>
      </c>
      <c r="C21" s="4">
        <v>12</v>
      </c>
      <c r="D21" s="1" t="s">
        <v>225</v>
      </c>
      <c r="E21" s="7">
        <v>3</v>
      </c>
      <c r="F21" s="2" t="s">
        <v>6</v>
      </c>
      <c r="H21" s="6"/>
    </row>
    <row r="22" spans="1:9" x14ac:dyDescent="0.25">
      <c r="B22" s="2" t="s">
        <v>23</v>
      </c>
      <c r="C22" s="4">
        <v>1</v>
      </c>
      <c r="D22" s="1" t="s">
        <v>154</v>
      </c>
      <c r="E22" s="7">
        <v>3</v>
      </c>
      <c r="F22" s="2" t="s">
        <v>6</v>
      </c>
      <c r="H22" s="6"/>
    </row>
    <row r="23" spans="1:9" x14ac:dyDescent="0.25">
      <c r="B23" s="2" t="s">
        <v>23</v>
      </c>
      <c r="C23" s="4">
        <v>2</v>
      </c>
      <c r="D23" s="1" t="s">
        <v>156</v>
      </c>
      <c r="E23" s="7">
        <v>3</v>
      </c>
      <c r="F23" s="2" t="s">
        <v>6</v>
      </c>
      <c r="H23" s="6"/>
    </row>
    <row r="24" spans="1:9" x14ac:dyDescent="0.25">
      <c r="B24" s="11" t="s">
        <v>66</v>
      </c>
      <c r="C24" s="72">
        <v>1</v>
      </c>
      <c r="D24" s="11" t="s">
        <v>67</v>
      </c>
      <c r="E24" s="11">
        <v>3</v>
      </c>
      <c r="F24" s="11" t="s">
        <v>6</v>
      </c>
      <c r="H24" s="6"/>
    </row>
    <row r="25" spans="1:9" x14ac:dyDescent="0.25">
      <c r="B25" s="11"/>
      <c r="C25" s="72"/>
      <c r="D25" s="11"/>
      <c r="E25" s="11"/>
      <c r="F25" s="11"/>
      <c r="H25" s="6"/>
    </row>
    <row r="26" spans="1:9" x14ac:dyDescent="0.25">
      <c r="A26" s="6" t="s">
        <v>238</v>
      </c>
      <c r="C26" s="4"/>
      <c r="D26" s="2"/>
      <c r="F26" s="2"/>
      <c r="G26" s="6">
        <f>SUM(E27:E32)</f>
        <v>18</v>
      </c>
      <c r="H26" s="6" t="s">
        <v>6</v>
      </c>
      <c r="I26" s="2"/>
    </row>
    <row r="27" spans="1:9" x14ac:dyDescent="0.25">
      <c r="A27" s="8"/>
      <c r="B27" s="9" t="s">
        <v>230</v>
      </c>
      <c r="C27" s="10">
        <v>101</v>
      </c>
      <c r="D27" s="9" t="s">
        <v>26</v>
      </c>
      <c r="E27" s="7">
        <v>3</v>
      </c>
      <c r="F27" s="9" t="s">
        <v>6</v>
      </c>
      <c r="G27" s="11"/>
    </row>
    <row r="28" spans="1:9" x14ac:dyDescent="0.25">
      <c r="A28" s="8"/>
      <c r="B28" s="9" t="s">
        <v>230</v>
      </c>
      <c r="C28" s="10">
        <v>102</v>
      </c>
      <c r="D28" s="9" t="s">
        <v>27</v>
      </c>
      <c r="E28" s="7">
        <v>3</v>
      </c>
      <c r="F28" s="9" t="s">
        <v>6</v>
      </c>
      <c r="G28" s="11"/>
    </row>
    <row r="29" spans="1:9" x14ac:dyDescent="0.25">
      <c r="A29" s="8"/>
      <c r="B29" s="9" t="s">
        <v>230</v>
      </c>
      <c r="C29" s="10">
        <v>103</v>
      </c>
      <c r="D29" s="9" t="s">
        <v>28</v>
      </c>
      <c r="E29" s="7">
        <v>3</v>
      </c>
      <c r="F29" s="9" t="s">
        <v>6</v>
      </c>
      <c r="G29" s="11"/>
    </row>
    <row r="30" spans="1:9" x14ac:dyDescent="0.25">
      <c r="A30" s="8"/>
      <c r="B30" s="9" t="s">
        <v>230</v>
      </c>
      <c r="C30" s="10">
        <v>104</v>
      </c>
      <c r="D30" s="9" t="s">
        <v>29</v>
      </c>
      <c r="E30" s="7">
        <v>3</v>
      </c>
      <c r="F30" s="9" t="s">
        <v>6</v>
      </c>
      <c r="G30" s="11"/>
    </row>
    <row r="31" spans="1:9" x14ac:dyDescent="0.25">
      <c r="A31" s="8"/>
      <c r="B31" s="9" t="s">
        <v>230</v>
      </c>
      <c r="C31" s="10">
        <v>105</v>
      </c>
      <c r="D31" s="9" t="s">
        <v>31</v>
      </c>
      <c r="E31" s="7">
        <v>3</v>
      </c>
      <c r="F31" s="9" t="s">
        <v>6</v>
      </c>
      <c r="G31" s="11"/>
    </row>
    <row r="32" spans="1:9" x14ac:dyDescent="0.25">
      <c r="A32" s="8"/>
      <c r="B32" s="9" t="s">
        <v>230</v>
      </c>
      <c r="C32" s="10">
        <v>106</v>
      </c>
      <c r="D32" s="9" t="s">
        <v>30</v>
      </c>
      <c r="E32" s="7">
        <v>3</v>
      </c>
      <c r="F32" s="9" t="s">
        <v>6</v>
      </c>
      <c r="G32" s="11"/>
    </row>
    <row r="33" spans="1:8" x14ac:dyDescent="0.25">
      <c r="A33" s="8"/>
    </row>
    <row r="34" spans="1:8" x14ac:dyDescent="0.25">
      <c r="A34" s="6" t="s">
        <v>32</v>
      </c>
      <c r="G34" s="6">
        <f>SUM(E35:E49)</f>
        <v>48</v>
      </c>
      <c r="H34" s="8" t="s">
        <v>6</v>
      </c>
    </row>
    <row r="35" spans="1:8" x14ac:dyDescent="0.25">
      <c r="A35" s="8"/>
      <c r="B35" s="9" t="s">
        <v>25</v>
      </c>
      <c r="C35" s="10">
        <v>101</v>
      </c>
      <c r="D35" s="9" t="s">
        <v>39</v>
      </c>
      <c r="E35" s="7">
        <v>3</v>
      </c>
      <c r="F35" s="9" t="s">
        <v>6</v>
      </c>
    </row>
    <row r="36" spans="1:8" x14ac:dyDescent="0.25">
      <c r="A36" s="8"/>
      <c r="B36" s="9" t="s">
        <v>25</v>
      </c>
      <c r="C36" s="10">
        <v>102</v>
      </c>
      <c r="D36" s="9" t="s">
        <v>33</v>
      </c>
      <c r="E36" s="7">
        <v>3</v>
      </c>
      <c r="F36" s="9" t="s">
        <v>6</v>
      </c>
    </row>
    <row r="37" spans="1:8" x14ac:dyDescent="0.25">
      <c r="A37" s="8"/>
      <c r="B37" s="9" t="s">
        <v>25</v>
      </c>
      <c r="C37" s="10">
        <v>201</v>
      </c>
      <c r="D37" s="9" t="s">
        <v>38</v>
      </c>
      <c r="E37" s="7">
        <v>3</v>
      </c>
      <c r="F37" s="9" t="s">
        <v>6</v>
      </c>
    </row>
    <row r="38" spans="1:8" x14ac:dyDescent="0.25">
      <c r="A38" s="8"/>
      <c r="B38" s="9" t="s">
        <v>25</v>
      </c>
      <c r="C38" s="10">
        <v>202</v>
      </c>
      <c r="D38" s="9" t="s">
        <v>40</v>
      </c>
      <c r="E38" s="7">
        <v>3</v>
      </c>
      <c r="F38" s="9" t="s">
        <v>6</v>
      </c>
    </row>
    <row r="39" spans="1:8" x14ac:dyDescent="0.25">
      <c r="B39" s="9" t="s">
        <v>25</v>
      </c>
      <c r="C39" s="10">
        <v>203</v>
      </c>
      <c r="D39" s="9" t="s">
        <v>44</v>
      </c>
      <c r="E39" s="7">
        <v>3</v>
      </c>
      <c r="F39" s="9" t="s">
        <v>6</v>
      </c>
    </row>
    <row r="40" spans="1:8" x14ac:dyDescent="0.25">
      <c r="A40" s="8"/>
      <c r="B40" s="9" t="s">
        <v>25</v>
      </c>
      <c r="C40" s="10">
        <v>204</v>
      </c>
      <c r="D40" s="9" t="s">
        <v>34</v>
      </c>
      <c r="E40" s="7">
        <v>3</v>
      </c>
      <c r="F40" s="9" t="s">
        <v>6</v>
      </c>
    </row>
    <row r="41" spans="1:8" x14ac:dyDescent="0.25">
      <c r="A41" s="8"/>
      <c r="B41" s="9" t="s">
        <v>25</v>
      </c>
      <c r="C41" s="10">
        <v>301</v>
      </c>
      <c r="D41" s="9" t="s">
        <v>221</v>
      </c>
      <c r="E41" s="7">
        <v>3</v>
      </c>
      <c r="F41" s="9" t="s">
        <v>6</v>
      </c>
    </row>
    <row r="42" spans="1:8" x14ac:dyDescent="0.25">
      <c r="A42" s="8"/>
      <c r="B42" s="9" t="s">
        <v>25</v>
      </c>
      <c r="C42" s="10">
        <v>302</v>
      </c>
      <c r="D42" s="9" t="s">
        <v>41</v>
      </c>
      <c r="E42" s="7">
        <v>3</v>
      </c>
      <c r="F42" s="9" t="s">
        <v>6</v>
      </c>
    </row>
    <row r="43" spans="1:8" x14ac:dyDescent="0.25">
      <c r="A43" s="8"/>
      <c r="B43" s="9" t="s">
        <v>25</v>
      </c>
      <c r="C43" s="10">
        <v>303</v>
      </c>
      <c r="D43" s="9" t="s">
        <v>37</v>
      </c>
      <c r="E43" s="7">
        <v>3</v>
      </c>
      <c r="F43" s="9" t="s">
        <v>6</v>
      </c>
    </row>
    <row r="44" spans="1:8" x14ac:dyDescent="0.25">
      <c r="A44" s="8"/>
      <c r="B44" s="9" t="s">
        <v>25</v>
      </c>
      <c r="C44" s="10">
        <v>304</v>
      </c>
      <c r="D44" s="9" t="s">
        <v>45</v>
      </c>
      <c r="E44" s="7">
        <v>3</v>
      </c>
      <c r="F44" s="9" t="s">
        <v>6</v>
      </c>
      <c r="H44" s="1"/>
    </row>
    <row r="45" spans="1:8" x14ac:dyDescent="0.25">
      <c r="A45" s="8"/>
      <c r="B45" s="9" t="s">
        <v>25</v>
      </c>
      <c r="C45" s="10">
        <v>305</v>
      </c>
      <c r="D45" s="9" t="s">
        <v>223</v>
      </c>
      <c r="E45" s="7">
        <v>3</v>
      </c>
      <c r="F45" s="9" t="s">
        <v>6</v>
      </c>
      <c r="H45" s="1"/>
    </row>
    <row r="46" spans="1:8" x14ac:dyDescent="0.25">
      <c r="B46" s="9" t="s">
        <v>25</v>
      </c>
      <c r="C46" s="10">
        <v>401</v>
      </c>
      <c r="D46" s="9" t="s">
        <v>43</v>
      </c>
      <c r="E46" s="7">
        <v>3</v>
      </c>
      <c r="F46" s="9" t="s">
        <v>6</v>
      </c>
    </row>
    <row r="47" spans="1:8" x14ac:dyDescent="0.25">
      <c r="B47" s="9" t="s">
        <v>46</v>
      </c>
      <c r="C47" s="10">
        <v>101</v>
      </c>
      <c r="D47" s="9" t="s">
        <v>47</v>
      </c>
      <c r="E47" s="7">
        <v>3</v>
      </c>
      <c r="F47" s="9" t="s">
        <v>6</v>
      </c>
    </row>
    <row r="48" spans="1:8" x14ac:dyDescent="0.25">
      <c r="B48" s="9" t="s">
        <v>46</v>
      </c>
      <c r="C48" s="10">
        <v>102</v>
      </c>
      <c r="D48" s="9" t="s">
        <v>48</v>
      </c>
      <c r="E48" s="7">
        <v>3</v>
      </c>
      <c r="F48" s="9" t="s">
        <v>6</v>
      </c>
    </row>
    <row r="49" spans="1:8" x14ac:dyDescent="0.25">
      <c r="B49" s="9" t="s">
        <v>237</v>
      </c>
      <c r="C49" s="10">
        <v>101</v>
      </c>
      <c r="D49" s="9" t="s">
        <v>42</v>
      </c>
      <c r="E49" s="7">
        <v>6</v>
      </c>
      <c r="F49" s="9" t="s">
        <v>6</v>
      </c>
    </row>
    <row r="50" spans="1:8" x14ac:dyDescent="0.25">
      <c r="B50" s="2"/>
      <c r="C50" s="4"/>
      <c r="D50" s="2"/>
      <c r="F50" s="2"/>
      <c r="H50" s="6"/>
    </row>
    <row r="51" spans="1:8" x14ac:dyDescent="0.25">
      <c r="B51" s="2"/>
      <c r="C51" s="4"/>
      <c r="D51" s="2"/>
      <c r="F51" s="2"/>
      <c r="H51" s="6"/>
    </row>
    <row r="52" spans="1:8" x14ac:dyDescent="0.25">
      <c r="B52" s="2"/>
      <c r="C52" s="4"/>
      <c r="D52" s="2"/>
      <c r="F52" s="2"/>
      <c r="H52" s="6"/>
    </row>
    <row r="53" spans="1:8" x14ac:dyDescent="0.25">
      <c r="B53" s="2"/>
      <c r="C53" s="4"/>
      <c r="D53" s="2"/>
      <c r="F53" s="2"/>
      <c r="H53" s="6"/>
    </row>
    <row r="54" spans="1:8" x14ac:dyDescent="0.25">
      <c r="B54" s="2"/>
      <c r="C54" s="4"/>
      <c r="D54" s="2"/>
      <c r="F54" s="2"/>
      <c r="H54" s="6"/>
    </row>
    <row r="55" spans="1:8" x14ac:dyDescent="0.25">
      <c r="A55" s="6" t="s">
        <v>49</v>
      </c>
      <c r="B55" s="2"/>
      <c r="C55" s="4"/>
      <c r="E55" s="7"/>
      <c r="F55" s="2"/>
      <c r="G55" s="6">
        <f>SUM(E56:E61)</f>
        <v>18</v>
      </c>
      <c r="H55" s="6" t="s">
        <v>6</v>
      </c>
    </row>
    <row r="56" spans="1:8" x14ac:dyDescent="0.25">
      <c r="B56" s="9" t="s">
        <v>172</v>
      </c>
      <c r="C56" s="10">
        <v>101</v>
      </c>
      <c r="D56" s="9" t="s">
        <v>51</v>
      </c>
      <c r="E56" s="7">
        <v>3</v>
      </c>
      <c r="F56" s="1" t="s">
        <v>6</v>
      </c>
    </row>
    <row r="57" spans="1:8" x14ac:dyDescent="0.25">
      <c r="B57" s="9" t="s">
        <v>172</v>
      </c>
      <c r="C57" s="10">
        <v>102</v>
      </c>
      <c r="D57" s="9" t="s">
        <v>53</v>
      </c>
      <c r="E57" s="2">
        <v>3</v>
      </c>
      <c r="F57" s="1" t="s">
        <v>6</v>
      </c>
    </row>
    <row r="58" spans="1:8" x14ac:dyDescent="0.25">
      <c r="A58" s="8"/>
      <c r="B58" s="9" t="s">
        <v>172</v>
      </c>
      <c r="C58" s="10">
        <v>103</v>
      </c>
      <c r="D58" s="9" t="s">
        <v>214</v>
      </c>
      <c r="E58" s="2">
        <v>3</v>
      </c>
      <c r="F58" s="1" t="s">
        <v>6</v>
      </c>
    </row>
    <row r="59" spans="1:8" x14ac:dyDescent="0.25">
      <c r="B59" s="9" t="s">
        <v>172</v>
      </c>
      <c r="C59" s="10">
        <v>104</v>
      </c>
      <c r="D59" s="11" t="s">
        <v>280</v>
      </c>
      <c r="E59" s="2">
        <v>3</v>
      </c>
      <c r="F59" s="1" t="s">
        <v>6</v>
      </c>
    </row>
    <row r="60" spans="1:8" x14ac:dyDescent="0.25">
      <c r="B60" s="9" t="s">
        <v>172</v>
      </c>
      <c r="C60" s="10">
        <v>111</v>
      </c>
      <c r="D60" s="9" t="s">
        <v>44</v>
      </c>
      <c r="E60" s="2">
        <v>3</v>
      </c>
      <c r="F60" s="1" t="s">
        <v>6</v>
      </c>
    </row>
    <row r="61" spans="1:8" x14ac:dyDescent="0.25">
      <c r="B61" s="9" t="s">
        <v>172</v>
      </c>
      <c r="C61" s="10">
        <v>112</v>
      </c>
      <c r="D61" s="9" t="s">
        <v>50</v>
      </c>
      <c r="E61" s="7">
        <v>3</v>
      </c>
      <c r="F61" s="1" t="s">
        <v>6</v>
      </c>
    </row>
    <row r="62" spans="1:8" x14ac:dyDescent="0.25">
      <c r="B62" s="83" t="s">
        <v>54</v>
      </c>
      <c r="D62" s="9"/>
      <c r="E62" s="7"/>
      <c r="G62" s="6">
        <f>SUM(E63:E68)</f>
        <v>18</v>
      </c>
      <c r="H62" s="6" t="s">
        <v>6</v>
      </c>
    </row>
    <row r="63" spans="1:8" s="11" customFormat="1" x14ac:dyDescent="0.25">
      <c r="B63" s="9" t="s">
        <v>172</v>
      </c>
      <c r="C63" s="72">
        <v>105</v>
      </c>
      <c r="D63" s="11" t="s">
        <v>58</v>
      </c>
      <c r="E63" s="11">
        <v>3</v>
      </c>
      <c r="F63" s="11" t="s">
        <v>6</v>
      </c>
    </row>
    <row r="64" spans="1:8" x14ac:dyDescent="0.25">
      <c r="A64" s="8"/>
      <c r="B64" s="9" t="s">
        <v>172</v>
      </c>
      <c r="C64" s="10">
        <v>106</v>
      </c>
      <c r="D64" s="9" t="s">
        <v>35</v>
      </c>
      <c r="E64" s="7">
        <v>3</v>
      </c>
      <c r="F64" s="9" t="s">
        <v>6</v>
      </c>
    </row>
    <row r="65" spans="1:9" s="11" customFormat="1" x14ac:dyDescent="0.25">
      <c r="B65" s="9" t="s">
        <v>172</v>
      </c>
      <c r="C65" s="72">
        <v>107</v>
      </c>
      <c r="D65" s="11" t="s">
        <v>218</v>
      </c>
      <c r="E65" s="2">
        <v>3</v>
      </c>
      <c r="F65" s="1" t="s">
        <v>6</v>
      </c>
    </row>
    <row r="66" spans="1:9" s="11" customFormat="1" x14ac:dyDescent="0.25">
      <c r="B66" s="9" t="s">
        <v>172</v>
      </c>
      <c r="C66" s="72">
        <v>108</v>
      </c>
      <c r="D66" s="11" t="s">
        <v>64</v>
      </c>
      <c r="E66" s="11">
        <v>3</v>
      </c>
      <c r="F66" s="11" t="s">
        <v>6</v>
      </c>
    </row>
    <row r="67" spans="1:9" s="11" customFormat="1" x14ac:dyDescent="0.25">
      <c r="B67" s="9" t="s">
        <v>172</v>
      </c>
      <c r="C67" s="72">
        <v>109</v>
      </c>
      <c r="D67" s="11" t="s">
        <v>236</v>
      </c>
      <c r="E67" s="2">
        <v>3</v>
      </c>
      <c r="F67" s="1" t="s">
        <v>6</v>
      </c>
    </row>
    <row r="68" spans="1:9" s="11" customFormat="1" x14ac:dyDescent="0.25">
      <c r="B68" s="9" t="s">
        <v>172</v>
      </c>
      <c r="C68" s="72">
        <v>110</v>
      </c>
      <c r="D68" s="11" t="s">
        <v>60</v>
      </c>
      <c r="E68" s="11">
        <v>3</v>
      </c>
      <c r="F68" s="11" t="s">
        <v>6</v>
      </c>
    </row>
    <row r="69" spans="1:9" x14ac:dyDescent="0.25">
      <c r="E69" s="7"/>
    </row>
    <row r="70" spans="1:9" x14ac:dyDescent="0.25">
      <c r="A70" s="6" t="s">
        <v>68</v>
      </c>
      <c r="B70" s="2"/>
      <c r="C70" s="4"/>
      <c r="D70" s="2"/>
      <c r="F70" s="2"/>
      <c r="G70" s="6">
        <f>SUM(E71:E74)</f>
        <v>8</v>
      </c>
      <c r="H70" s="6" t="s">
        <v>6</v>
      </c>
      <c r="I70" s="2"/>
    </row>
    <row r="71" spans="1:9" x14ac:dyDescent="0.25">
      <c r="B71" s="2" t="s">
        <v>176</v>
      </c>
      <c r="C71" s="4">
        <v>1</v>
      </c>
      <c r="D71" s="2" t="s">
        <v>239</v>
      </c>
      <c r="E71" s="2">
        <v>2</v>
      </c>
      <c r="F71" s="2" t="s">
        <v>6</v>
      </c>
      <c r="H71" s="6"/>
      <c r="I71" s="2"/>
    </row>
    <row r="72" spans="1:9" x14ac:dyDescent="0.25">
      <c r="B72" s="2" t="s">
        <v>176</v>
      </c>
      <c r="C72" s="4">
        <v>2</v>
      </c>
      <c r="D72" s="2" t="s">
        <v>240</v>
      </c>
      <c r="E72" s="2">
        <v>2</v>
      </c>
      <c r="F72" s="2" t="s">
        <v>6</v>
      </c>
      <c r="H72" s="6"/>
      <c r="I72" s="2"/>
    </row>
    <row r="73" spans="1:9" x14ac:dyDescent="0.25">
      <c r="B73" s="2" t="s">
        <v>176</v>
      </c>
      <c r="C73" s="4">
        <v>3</v>
      </c>
      <c r="D73" s="2" t="s">
        <v>241</v>
      </c>
      <c r="E73" s="2">
        <v>2</v>
      </c>
      <c r="F73" s="2" t="s">
        <v>6</v>
      </c>
      <c r="H73" s="6"/>
      <c r="I73" s="2"/>
    </row>
    <row r="74" spans="1:9" x14ac:dyDescent="0.25">
      <c r="B74" s="2" t="s">
        <v>176</v>
      </c>
      <c r="C74" s="4">
        <v>4</v>
      </c>
      <c r="D74" s="2" t="s">
        <v>242</v>
      </c>
      <c r="E74" s="2">
        <v>2</v>
      </c>
      <c r="F74" s="2" t="s">
        <v>6</v>
      </c>
      <c r="H74" s="6"/>
      <c r="I74" s="2"/>
    </row>
    <row r="75" spans="1:9" x14ac:dyDescent="0.25">
      <c r="B75" s="2"/>
      <c r="C75" s="4"/>
      <c r="D75" s="2"/>
      <c r="F75" s="2"/>
      <c r="H75" s="6"/>
      <c r="I75" s="2"/>
    </row>
    <row r="76" spans="1:9" x14ac:dyDescent="0.25">
      <c r="A76" s="6" t="s">
        <v>73</v>
      </c>
      <c r="B76" s="2"/>
      <c r="C76" s="4"/>
      <c r="D76" s="2"/>
      <c r="F76" s="2"/>
      <c r="G76" s="6">
        <f>E77+E78</f>
        <v>6</v>
      </c>
      <c r="H76" s="6" t="s">
        <v>6</v>
      </c>
      <c r="I76" s="2"/>
    </row>
    <row r="77" spans="1:9" x14ac:dyDescent="0.25">
      <c r="B77" s="2" t="s">
        <v>180</v>
      </c>
      <c r="C77" s="4">
        <v>1</v>
      </c>
      <c r="D77" s="2" t="s">
        <v>243</v>
      </c>
      <c r="E77" s="2">
        <v>3</v>
      </c>
      <c r="F77" s="2" t="s">
        <v>6</v>
      </c>
      <c r="H77" s="6"/>
      <c r="I77" s="2"/>
    </row>
    <row r="78" spans="1:9" x14ac:dyDescent="0.25">
      <c r="B78" s="2" t="s">
        <v>180</v>
      </c>
      <c r="C78" s="4">
        <v>2</v>
      </c>
      <c r="D78" s="2" t="s">
        <v>244</v>
      </c>
      <c r="E78" s="2">
        <v>3</v>
      </c>
      <c r="F78" s="2" t="s">
        <v>6</v>
      </c>
      <c r="H78" s="6"/>
      <c r="I78" s="2"/>
    </row>
    <row r="79" spans="1:9" x14ac:dyDescent="0.25">
      <c r="B79" s="2"/>
      <c r="C79" s="4"/>
      <c r="D79" s="2"/>
      <c r="F79" s="2"/>
      <c r="H79" s="6"/>
      <c r="I79" s="2"/>
    </row>
    <row r="80" spans="1:9" x14ac:dyDescent="0.25">
      <c r="A80" s="6" t="s">
        <v>76</v>
      </c>
      <c r="B80" s="2"/>
      <c r="E80" s="7"/>
      <c r="F80" s="2"/>
      <c r="G80" s="6">
        <f>SUM(E81:E86)</f>
        <v>18</v>
      </c>
      <c r="H80" s="6" t="s">
        <v>6</v>
      </c>
    </row>
    <row r="81" spans="1:9" x14ac:dyDescent="0.25">
      <c r="B81" s="2" t="s">
        <v>245</v>
      </c>
      <c r="C81" s="4">
        <v>1</v>
      </c>
      <c r="D81" s="1" t="s">
        <v>78</v>
      </c>
      <c r="E81" s="7">
        <v>3</v>
      </c>
      <c r="F81" s="2" t="s">
        <v>6</v>
      </c>
      <c r="H81" s="6"/>
    </row>
    <row r="82" spans="1:9" x14ac:dyDescent="0.25">
      <c r="B82" s="2" t="s">
        <v>245</v>
      </c>
      <c r="C82" s="4">
        <v>2</v>
      </c>
      <c r="D82" s="1" t="s">
        <v>80</v>
      </c>
      <c r="E82" s="7">
        <v>3</v>
      </c>
      <c r="F82" s="2" t="s">
        <v>6</v>
      </c>
      <c r="H82" s="6"/>
    </row>
    <row r="83" spans="1:9" x14ac:dyDescent="0.25">
      <c r="B83" s="2" t="s">
        <v>245</v>
      </c>
      <c r="C83" s="4">
        <v>3</v>
      </c>
      <c r="D83" s="1" t="s">
        <v>82</v>
      </c>
      <c r="E83" s="7">
        <v>3</v>
      </c>
      <c r="F83" s="2" t="s">
        <v>6</v>
      </c>
      <c r="H83" s="6"/>
    </row>
    <row r="84" spans="1:9" x14ac:dyDescent="0.25">
      <c r="B84" s="2" t="s">
        <v>245</v>
      </c>
      <c r="C84" s="4">
        <v>4</v>
      </c>
      <c r="D84" s="1" t="s">
        <v>84</v>
      </c>
      <c r="E84" s="7">
        <v>3</v>
      </c>
      <c r="F84" s="2" t="s">
        <v>6</v>
      </c>
      <c r="H84" s="6"/>
    </row>
    <row r="85" spans="1:9" x14ac:dyDescent="0.25">
      <c r="B85" s="2" t="s">
        <v>245</v>
      </c>
      <c r="C85" s="4">
        <v>5</v>
      </c>
      <c r="D85" s="1" t="s">
        <v>86</v>
      </c>
      <c r="E85" s="7">
        <v>3</v>
      </c>
      <c r="F85" s="2" t="s">
        <v>6</v>
      </c>
      <c r="H85" s="6"/>
    </row>
    <row r="86" spans="1:9" x14ac:dyDescent="0.25">
      <c r="B86" s="2" t="s">
        <v>245</v>
      </c>
      <c r="C86" s="4">
        <v>6</v>
      </c>
      <c r="D86" s="1" t="s">
        <v>88</v>
      </c>
      <c r="E86" s="7">
        <v>3</v>
      </c>
      <c r="F86" s="2" t="s">
        <v>6</v>
      </c>
      <c r="H86" s="6"/>
    </row>
    <row r="87" spans="1:9" x14ac:dyDescent="0.25">
      <c r="B87" s="2"/>
      <c r="C87" s="4"/>
      <c r="E87" s="7"/>
      <c r="F87" s="2"/>
      <c r="H87" s="6"/>
    </row>
    <row r="88" spans="1:9" s="8" customFormat="1" x14ac:dyDescent="0.25">
      <c r="A88" s="84"/>
      <c r="B88" s="84" t="s">
        <v>89</v>
      </c>
      <c r="C88" s="85"/>
      <c r="D88" s="84"/>
      <c r="E88" s="84"/>
      <c r="F88" s="132">
        <f>SUM(G8:G87)</f>
        <v>179</v>
      </c>
      <c r="G88" s="132"/>
      <c r="H88" s="84" t="s">
        <v>6</v>
      </c>
      <c r="I88" s="86"/>
    </row>
    <row r="89" spans="1:9" x14ac:dyDescent="0.25">
      <c r="H89" s="124"/>
      <c r="I89" s="124"/>
    </row>
  </sheetData>
  <mergeCells count="7">
    <mergeCell ref="F88:G88"/>
    <mergeCell ref="H89:I89"/>
    <mergeCell ref="A5:I5"/>
    <mergeCell ref="A1:I1"/>
    <mergeCell ref="A2:I2"/>
    <mergeCell ref="A3:I3"/>
    <mergeCell ref="A4:I4"/>
  </mergeCells>
  <pageMargins left="0.45" right="0.24" top="0.75" bottom="0.75" header="0.3" footer="0.3"/>
  <pageSetup paperSize="14" orientation="portrait" horizontalDpi="0" verticalDpi="0" r:id="rId1"/>
  <headerFooter>
    <oddFooter>Page 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26896-A593-4C3D-BAB0-CCBB9D30C73B}">
  <dimension ref="A1:H89"/>
  <sheetViews>
    <sheetView zoomScaleNormal="100" workbookViewId="0">
      <selection activeCell="D25" sqref="D25"/>
    </sheetView>
  </sheetViews>
  <sheetFormatPr defaultRowHeight="15.75" x14ac:dyDescent="0.25"/>
  <cols>
    <col min="1" max="1" width="1.7109375" style="1" customWidth="1"/>
    <col min="2" max="2" width="10.7109375" style="1" customWidth="1"/>
    <col min="3" max="3" width="6.7109375" style="10" customWidth="1"/>
    <col min="4" max="4" width="50.42578125" style="1" customWidth="1"/>
    <col min="5" max="5" width="6.140625" style="2" customWidth="1"/>
    <col min="6" max="6" width="7.7109375" style="1" customWidth="1"/>
    <col min="7" max="7" width="5" style="6" customWidth="1"/>
    <col min="8" max="8" width="6.28515625" style="8" customWidth="1"/>
  </cols>
  <sheetData>
    <row r="1" spans="1:8" ht="18.75" x14ac:dyDescent="0.3">
      <c r="A1" s="125" t="s">
        <v>1</v>
      </c>
      <c r="B1" s="125"/>
      <c r="C1" s="125"/>
      <c r="D1" s="125"/>
      <c r="E1" s="125"/>
      <c r="F1" s="125"/>
      <c r="G1" s="125"/>
      <c r="H1" s="125"/>
    </row>
    <row r="2" spans="1:8" x14ac:dyDescent="0.25">
      <c r="A2" s="122" t="s">
        <v>285</v>
      </c>
      <c r="B2" s="122"/>
      <c r="C2" s="122"/>
      <c r="D2" s="122"/>
      <c r="E2" s="122"/>
      <c r="F2" s="122"/>
      <c r="G2" s="122"/>
      <c r="H2" s="122"/>
    </row>
    <row r="3" spans="1:8" x14ac:dyDescent="0.25">
      <c r="A3" s="122"/>
      <c r="B3" s="122"/>
      <c r="C3" s="122"/>
      <c r="D3" s="122"/>
      <c r="E3" s="122"/>
      <c r="F3" s="122"/>
      <c r="G3" s="122"/>
      <c r="H3" s="122"/>
    </row>
    <row r="4" spans="1:8" x14ac:dyDescent="0.25">
      <c r="A4" s="121" t="s">
        <v>4</v>
      </c>
      <c r="B4" s="121"/>
      <c r="C4" s="121"/>
      <c r="D4" s="121"/>
      <c r="E4" s="121"/>
      <c r="F4" s="121"/>
      <c r="G4" s="121"/>
      <c r="H4" s="121"/>
    </row>
    <row r="5" spans="1:8" x14ac:dyDescent="0.25">
      <c r="A5" s="122" t="s">
        <v>290</v>
      </c>
      <c r="B5" s="122"/>
      <c r="C5" s="122"/>
      <c r="D5" s="122"/>
      <c r="E5" s="122"/>
      <c r="F5" s="122"/>
      <c r="G5" s="122"/>
      <c r="H5" s="122"/>
    </row>
    <row r="6" spans="1:8" x14ac:dyDescent="0.25">
      <c r="B6" s="2"/>
      <c r="C6" s="4"/>
      <c r="D6" s="2"/>
      <c r="F6" s="2"/>
      <c r="H6" s="6"/>
    </row>
    <row r="7" spans="1:8" x14ac:dyDescent="0.25">
      <c r="B7" s="2"/>
      <c r="C7" s="4"/>
      <c r="D7" s="2"/>
      <c r="F7" s="2"/>
      <c r="H7" s="6"/>
    </row>
    <row r="8" spans="1:8" x14ac:dyDescent="0.25">
      <c r="A8" s="6" t="s">
        <v>5</v>
      </c>
      <c r="B8" s="2"/>
      <c r="C8" s="4"/>
      <c r="D8" s="2"/>
      <c r="F8" s="2"/>
      <c r="G8" s="6">
        <f>SUM(E9:E22)</f>
        <v>39</v>
      </c>
      <c r="H8" s="6" t="s">
        <v>6</v>
      </c>
    </row>
    <row r="9" spans="1:8" x14ac:dyDescent="0.25">
      <c r="B9" s="2" t="s">
        <v>7</v>
      </c>
      <c r="C9" s="4">
        <v>1</v>
      </c>
      <c r="D9" s="1" t="s">
        <v>8</v>
      </c>
      <c r="E9" s="7">
        <v>3</v>
      </c>
      <c r="F9" s="2" t="s">
        <v>6</v>
      </c>
      <c r="H9" s="6"/>
    </row>
    <row r="10" spans="1:8" x14ac:dyDescent="0.25">
      <c r="B10" s="2" t="s">
        <v>7</v>
      </c>
      <c r="C10" s="4">
        <v>2</v>
      </c>
      <c r="D10" s="1" t="s">
        <v>9</v>
      </c>
      <c r="E10" s="7">
        <v>3</v>
      </c>
      <c r="F10" s="2" t="s">
        <v>6</v>
      </c>
      <c r="H10" s="6"/>
    </row>
    <row r="11" spans="1:8" x14ac:dyDescent="0.25">
      <c r="B11" s="2" t="s">
        <v>7</v>
      </c>
      <c r="C11" s="4">
        <v>3</v>
      </c>
      <c r="D11" s="1" t="s">
        <v>10</v>
      </c>
      <c r="E11" s="7">
        <v>3</v>
      </c>
      <c r="F11" s="2" t="s">
        <v>6</v>
      </c>
      <c r="H11" s="6"/>
    </row>
    <row r="12" spans="1:8" x14ac:dyDescent="0.25">
      <c r="B12" s="2" t="s">
        <v>7</v>
      </c>
      <c r="C12" s="4">
        <v>4</v>
      </c>
      <c r="D12" s="1" t="s">
        <v>11</v>
      </c>
      <c r="E12" s="7">
        <v>3</v>
      </c>
      <c r="F12" s="2" t="s">
        <v>6</v>
      </c>
      <c r="H12" s="6"/>
    </row>
    <row r="13" spans="1:8" x14ac:dyDescent="0.25">
      <c r="B13" s="2" t="s">
        <v>7</v>
      </c>
      <c r="C13" s="4">
        <v>5</v>
      </c>
      <c r="D13" s="1" t="s">
        <v>12</v>
      </c>
      <c r="E13" s="7">
        <v>3</v>
      </c>
      <c r="F13" s="2" t="s">
        <v>6</v>
      </c>
      <c r="H13" s="6"/>
    </row>
    <row r="14" spans="1:8" x14ac:dyDescent="0.25">
      <c r="B14" s="2" t="s">
        <v>7</v>
      </c>
      <c r="C14" s="4">
        <v>6</v>
      </c>
      <c r="D14" s="1" t="s">
        <v>13</v>
      </c>
      <c r="E14" s="7">
        <v>3</v>
      </c>
      <c r="F14" s="2" t="s">
        <v>6</v>
      </c>
      <c r="H14" s="6"/>
    </row>
    <row r="15" spans="1:8" x14ac:dyDescent="0.25">
      <c r="B15" s="2" t="s">
        <v>7</v>
      </c>
      <c r="C15" s="4">
        <v>7</v>
      </c>
      <c r="D15" s="1" t="s">
        <v>14</v>
      </c>
      <c r="E15" s="7">
        <v>3</v>
      </c>
      <c r="F15" s="2" t="s">
        <v>6</v>
      </c>
      <c r="H15" s="6"/>
    </row>
    <row r="16" spans="1:8" x14ac:dyDescent="0.25">
      <c r="B16" s="2" t="s">
        <v>7</v>
      </c>
      <c r="C16" s="4">
        <v>8</v>
      </c>
      <c r="D16" s="1" t="s">
        <v>15</v>
      </c>
      <c r="E16" s="7">
        <v>3</v>
      </c>
      <c r="F16" s="2" t="s">
        <v>6</v>
      </c>
      <c r="H16" s="6"/>
    </row>
    <row r="17" spans="1:8" x14ac:dyDescent="0.25">
      <c r="B17" s="2" t="s">
        <v>7</v>
      </c>
      <c r="C17" s="4">
        <v>9</v>
      </c>
      <c r="D17" s="1" t="s">
        <v>16</v>
      </c>
      <c r="E17" s="7">
        <v>3</v>
      </c>
      <c r="F17" s="2" t="s">
        <v>6</v>
      </c>
      <c r="H17" s="6"/>
    </row>
    <row r="18" spans="1:8" x14ac:dyDescent="0.25">
      <c r="B18" s="2"/>
      <c r="C18" s="4" t="s">
        <v>17</v>
      </c>
      <c r="E18" s="7"/>
      <c r="F18" s="2"/>
      <c r="H18" s="6"/>
    </row>
    <row r="19" spans="1:8" x14ac:dyDescent="0.25">
      <c r="B19" s="2" t="s">
        <v>7</v>
      </c>
      <c r="C19" s="4">
        <v>10</v>
      </c>
      <c r="D19" s="1" t="s">
        <v>291</v>
      </c>
      <c r="E19" s="7">
        <v>3</v>
      </c>
      <c r="F19" s="2" t="s">
        <v>6</v>
      </c>
      <c r="H19" s="6"/>
    </row>
    <row r="20" spans="1:8" x14ac:dyDescent="0.25">
      <c r="B20" s="2" t="s">
        <v>7</v>
      </c>
      <c r="C20" s="4">
        <v>11</v>
      </c>
      <c r="D20" s="1" t="s">
        <v>234</v>
      </c>
      <c r="E20" s="7">
        <v>3</v>
      </c>
      <c r="F20" s="2" t="s">
        <v>6</v>
      </c>
      <c r="H20" s="6"/>
    </row>
    <row r="21" spans="1:8" x14ac:dyDescent="0.25">
      <c r="B21" s="2" t="s">
        <v>7</v>
      </c>
      <c r="C21" s="4">
        <v>12</v>
      </c>
      <c r="D21" s="1" t="s">
        <v>225</v>
      </c>
      <c r="E21" s="7">
        <v>3</v>
      </c>
      <c r="F21" s="2" t="s">
        <v>6</v>
      </c>
      <c r="H21" s="6"/>
    </row>
    <row r="22" spans="1:8" x14ac:dyDescent="0.25">
      <c r="B22" s="11" t="s">
        <v>299</v>
      </c>
      <c r="C22" s="72">
        <v>1</v>
      </c>
      <c r="D22" s="11" t="s">
        <v>67</v>
      </c>
      <c r="E22" s="11">
        <v>3</v>
      </c>
      <c r="F22" s="11" t="s">
        <v>6</v>
      </c>
      <c r="H22" s="6"/>
    </row>
    <row r="23" spans="1:8" x14ac:dyDescent="0.25">
      <c r="B23" s="11"/>
      <c r="C23" s="72"/>
      <c r="D23" s="11"/>
      <c r="E23" s="11"/>
      <c r="F23" s="11"/>
      <c r="H23" s="6"/>
    </row>
    <row r="24" spans="1:8" x14ac:dyDescent="0.25">
      <c r="A24" s="6" t="s">
        <v>238</v>
      </c>
      <c r="C24" s="4"/>
      <c r="D24" s="2"/>
      <c r="F24" s="2"/>
      <c r="G24" s="6">
        <f>SUM(E25:E30)</f>
        <v>18</v>
      </c>
      <c r="H24" s="6" t="s">
        <v>6</v>
      </c>
    </row>
    <row r="25" spans="1:8" x14ac:dyDescent="0.25">
      <c r="A25" s="8"/>
      <c r="B25" s="9" t="s">
        <v>230</v>
      </c>
      <c r="C25" s="10">
        <v>101</v>
      </c>
      <c r="D25" s="9" t="s">
        <v>26</v>
      </c>
      <c r="E25" s="7">
        <v>3</v>
      </c>
      <c r="F25" s="9" t="s">
        <v>6</v>
      </c>
      <c r="G25" s="11"/>
    </row>
    <row r="26" spans="1:8" x14ac:dyDescent="0.25">
      <c r="A26" s="8"/>
      <c r="B26" s="9" t="s">
        <v>230</v>
      </c>
      <c r="C26" s="10">
        <v>102</v>
      </c>
      <c r="D26" s="9" t="s">
        <v>27</v>
      </c>
      <c r="E26" s="7">
        <v>3</v>
      </c>
      <c r="F26" s="9" t="s">
        <v>6</v>
      </c>
      <c r="G26" s="11"/>
    </row>
    <row r="27" spans="1:8" x14ac:dyDescent="0.25">
      <c r="A27" s="8"/>
      <c r="B27" s="9" t="s">
        <v>230</v>
      </c>
      <c r="C27" s="10">
        <v>103</v>
      </c>
      <c r="D27" s="9" t="s">
        <v>28</v>
      </c>
      <c r="E27" s="7">
        <v>3</v>
      </c>
      <c r="F27" s="9" t="s">
        <v>6</v>
      </c>
      <c r="G27" s="11"/>
    </row>
    <row r="28" spans="1:8" x14ac:dyDescent="0.25">
      <c r="A28" s="8"/>
      <c r="B28" s="9" t="s">
        <v>230</v>
      </c>
      <c r="C28" s="10">
        <v>104</v>
      </c>
      <c r="D28" s="9" t="s">
        <v>29</v>
      </c>
      <c r="E28" s="7">
        <v>3</v>
      </c>
      <c r="F28" s="9" t="s">
        <v>6</v>
      </c>
      <c r="G28" s="11"/>
    </row>
    <row r="29" spans="1:8" x14ac:dyDescent="0.25">
      <c r="A29" s="8"/>
      <c r="B29" s="9" t="s">
        <v>230</v>
      </c>
      <c r="C29" s="10">
        <v>105</v>
      </c>
      <c r="D29" s="9" t="s">
        <v>31</v>
      </c>
      <c r="E29" s="7">
        <v>3</v>
      </c>
      <c r="F29" s="9" t="s">
        <v>6</v>
      </c>
      <c r="G29" s="11"/>
    </row>
    <row r="30" spans="1:8" x14ac:dyDescent="0.25">
      <c r="A30" s="8"/>
      <c r="B30" s="9" t="s">
        <v>230</v>
      </c>
      <c r="C30" s="10">
        <v>106</v>
      </c>
      <c r="D30" s="9" t="s">
        <v>30</v>
      </c>
      <c r="E30" s="7">
        <v>3</v>
      </c>
      <c r="F30" s="9" t="s">
        <v>6</v>
      </c>
      <c r="G30" s="11"/>
    </row>
    <row r="31" spans="1:8" x14ac:dyDescent="0.25">
      <c r="A31" s="8"/>
    </row>
    <row r="32" spans="1:8" x14ac:dyDescent="0.25">
      <c r="A32" s="6" t="s">
        <v>32</v>
      </c>
      <c r="G32" s="6">
        <f>SUM(E33:E47)</f>
        <v>48</v>
      </c>
      <c r="H32" s="8" t="s">
        <v>6</v>
      </c>
    </row>
    <row r="33" spans="1:8" x14ac:dyDescent="0.25">
      <c r="A33" s="8"/>
      <c r="B33" s="9" t="s">
        <v>25</v>
      </c>
      <c r="C33" s="10">
        <v>101</v>
      </c>
      <c r="D33" s="9" t="s">
        <v>39</v>
      </c>
      <c r="E33" s="7">
        <v>3</v>
      </c>
      <c r="F33" s="9" t="s">
        <v>6</v>
      </c>
    </row>
    <row r="34" spans="1:8" x14ac:dyDescent="0.25">
      <c r="A34" s="8"/>
      <c r="B34" s="9" t="s">
        <v>25</v>
      </c>
      <c r="C34" s="10">
        <v>102</v>
      </c>
      <c r="D34" s="9" t="s">
        <v>33</v>
      </c>
      <c r="E34" s="7">
        <v>3</v>
      </c>
      <c r="F34" s="9" t="s">
        <v>6</v>
      </c>
    </row>
    <row r="35" spans="1:8" x14ac:dyDescent="0.25">
      <c r="A35" s="8"/>
      <c r="B35" s="9" t="s">
        <v>25</v>
      </c>
      <c r="C35" s="10">
        <v>201</v>
      </c>
      <c r="D35" s="9" t="s">
        <v>38</v>
      </c>
      <c r="E35" s="7">
        <v>3</v>
      </c>
      <c r="F35" s="9" t="s">
        <v>6</v>
      </c>
    </row>
    <row r="36" spans="1:8" x14ac:dyDescent="0.25">
      <c r="A36" s="8"/>
      <c r="B36" s="9" t="s">
        <v>25</v>
      </c>
      <c r="C36" s="10">
        <v>202</v>
      </c>
      <c r="D36" s="9" t="s">
        <v>40</v>
      </c>
      <c r="E36" s="7">
        <v>3</v>
      </c>
      <c r="F36" s="9" t="s">
        <v>6</v>
      </c>
    </row>
    <row r="37" spans="1:8" x14ac:dyDescent="0.25">
      <c r="B37" s="9" t="s">
        <v>25</v>
      </c>
      <c r="C37" s="10">
        <v>203</v>
      </c>
      <c r="D37" s="9" t="s">
        <v>44</v>
      </c>
      <c r="E37" s="7">
        <v>3</v>
      </c>
      <c r="F37" s="9" t="s">
        <v>6</v>
      </c>
    </row>
    <row r="38" spans="1:8" x14ac:dyDescent="0.25">
      <c r="A38" s="8"/>
      <c r="B38" s="9" t="s">
        <v>25</v>
      </c>
      <c r="C38" s="10">
        <v>204</v>
      </c>
      <c r="D38" s="9" t="s">
        <v>34</v>
      </c>
      <c r="E38" s="7">
        <v>3</v>
      </c>
      <c r="F38" s="9" t="s">
        <v>6</v>
      </c>
    </row>
    <row r="39" spans="1:8" x14ac:dyDescent="0.25">
      <c r="A39" s="8"/>
      <c r="B39" s="9" t="s">
        <v>25</v>
      </c>
      <c r="C39" s="10">
        <v>301</v>
      </c>
      <c r="D39" s="9" t="s">
        <v>221</v>
      </c>
      <c r="E39" s="7">
        <v>3</v>
      </c>
      <c r="F39" s="9" t="s">
        <v>6</v>
      </c>
    </row>
    <row r="40" spans="1:8" x14ac:dyDescent="0.25">
      <c r="A40" s="8"/>
      <c r="B40" s="9" t="s">
        <v>25</v>
      </c>
      <c r="C40" s="10">
        <v>302</v>
      </c>
      <c r="D40" s="9" t="s">
        <v>41</v>
      </c>
      <c r="E40" s="7">
        <v>3</v>
      </c>
      <c r="F40" s="9" t="s">
        <v>6</v>
      </c>
    </row>
    <row r="41" spans="1:8" x14ac:dyDescent="0.25">
      <c r="A41" s="8"/>
      <c r="B41" s="9" t="s">
        <v>25</v>
      </c>
      <c r="C41" s="10">
        <v>303</v>
      </c>
      <c r="D41" s="9" t="s">
        <v>37</v>
      </c>
      <c r="E41" s="7">
        <v>3</v>
      </c>
      <c r="F41" s="9" t="s">
        <v>6</v>
      </c>
    </row>
    <row r="42" spans="1:8" x14ac:dyDescent="0.25">
      <c r="A42" s="8"/>
      <c r="B42" s="9" t="s">
        <v>25</v>
      </c>
      <c r="C42" s="10">
        <v>304</v>
      </c>
      <c r="D42" s="9" t="s">
        <v>45</v>
      </c>
      <c r="E42" s="7">
        <v>3</v>
      </c>
      <c r="F42" s="9" t="s">
        <v>6</v>
      </c>
      <c r="H42" s="1"/>
    </row>
    <row r="43" spans="1:8" x14ac:dyDescent="0.25">
      <c r="A43" s="8"/>
      <c r="B43" s="9" t="s">
        <v>25</v>
      </c>
      <c r="C43" s="10">
        <v>305</v>
      </c>
      <c r="D43" s="9" t="s">
        <v>223</v>
      </c>
      <c r="E43" s="7">
        <v>3</v>
      </c>
      <c r="F43" s="9" t="s">
        <v>6</v>
      </c>
      <c r="H43" s="1"/>
    </row>
    <row r="44" spans="1:8" x14ac:dyDescent="0.25">
      <c r="B44" s="9" t="s">
        <v>25</v>
      </c>
      <c r="C44" s="10">
        <v>401</v>
      </c>
      <c r="D44" s="9" t="s">
        <v>43</v>
      </c>
      <c r="E44" s="7">
        <v>3</v>
      </c>
      <c r="F44" s="9" t="s">
        <v>6</v>
      </c>
    </row>
    <row r="45" spans="1:8" x14ac:dyDescent="0.25">
      <c r="B45" s="9" t="s">
        <v>46</v>
      </c>
      <c r="C45" s="10">
        <v>101</v>
      </c>
      <c r="D45" s="9" t="s">
        <v>47</v>
      </c>
      <c r="E45" s="7">
        <v>3</v>
      </c>
      <c r="F45" s="9" t="s">
        <v>6</v>
      </c>
    </row>
    <row r="46" spans="1:8" x14ac:dyDescent="0.25">
      <c r="B46" s="9" t="s">
        <v>46</v>
      </c>
      <c r="C46" s="10">
        <v>102</v>
      </c>
      <c r="D46" s="9" t="s">
        <v>48</v>
      </c>
      <c r="E46" s="7">
        <v>3</v>
      </c>
      <c r="F46" s="9" t="s">
        <v>6</v>
      </c>
    </row>
    <row r="47" spans="1:8" x14ac:dyDescent="0.25">
      <c r="B47" s="9" t="s">
        <v>237</v>
      </c>
      <c r="C47" s="10">
        <v>101</v>
      </c>
      <c r="D47" s="9" t="s">
        <v>42</v>
      </c>
      <c r="E47" s="7">
        <v>6</v>
      </c>
      <c r="F47" s="9" t="s">
        <v>6</v>
      </c>
    </row>
    <row r="48" spans="1:8" x14ac:dyDescent="0.25">
      <c r="B48" s="2"/>
      <c r="C48" s="4"/>
      <c r="D48" s="2"/>
      <c r="F48" s="2"/>
      <c r="H48" s="6"/>
    </row>
    <row r="49" spans="1:8" x14ac:dyDescent="0.25">
      <c r="B49" s="2"/>
      <c r="C49" s="4"/>
      <c r="D49" s="2"/>
      <c r="F49" s="2"/>
      <c r="H49" s="6"/>
    </row>
    <row r="50" spans="1:8" x14ac:dyDescent="0.25">
      <c r="B50" s="2"/>
      <c r="C50" s="4"/>
      <c r="D50" s="2"/>
      <c r="F50" s="2"/>
      <c r="H50" s="6"/>
    </row>
    <row r="51" spans="1:8" x14ac:dyDescent="0.25">
      <c r="B51" s="2"/>
      <c r="C51" s="4"/>
      <c r="D51" s="2"/>
      <c r="F51" s="2"/>
      <c r="H51" s="6"/>
    </row>
    <row r="52" spans="1:8" x14ac:dyDescent="0.25">
      <c r="B52" s="2"/>
      <c r="C52" s="4"/>
      <c r="D52" s="2"/>
      <c r="F52" s="2"/>
      <c r="H52" s="6"/>
    </row>
    <row r="53" spans="1:8" x14ac:dyDescent="0.25">
      <c r="B53" s="2"/>
      <c r="C53" s="4"/>
      <c r="D53" s="2"/>
      <c r="F53" s="2"/>
      <c r="H53" s="6"/>
    </row>
    <row r="54" spans="1:8" x14ac:dyDescent="0.25">
      <c r="B54" s="2"/>
      <c r="C54" s="4"/>
      <c r="D54" s="2"/>
      <c r="F54" s="2"/>
      <c r="H54" s="6"/>
    </row>
    <row r="55" spans="1:8" x14ac:dyDescent="0.25">
      <c r="A55" s="6" t="s">
        <v>49</v>
      </c>
      <c r="B55" s="2"/>
      <c r="C55" s="4"/>
      <c r="E55" s="7"/>
      <c r="F55" s="2"/>
      <c r="G55" s="6">
        <f>SUM(E56:E61)</f>
        <v>18</v>
      </c>
      <c r="H55" s="6" t="s">
        <v>6</v>
      </c>
    </row>
    <row r="56" spans="1:8" x14ac:dyDescent="0.25">
      <c r="B56" s="9" t="s">
        <v>172</v>
      </c>
      <c r="C56" s="10">
        <v>101</v>
      </c>
      <c r="D56" s="9" t="s">
        <v>51</v>
      </c>
      <c r="E56" s="7">
        <v>3</v>
      </c>
      <c r="F56" s="1" t="s">
        <v>6</v>
      </c>
    </row>
    <row r="57" spans="1:8" x14ac:dyDescent="0.25">
      <c r="B57" s="9" t="s">
        <v>172</v>
      </c>
      <c r="C57" s="10">
        <v>102</v>
      </c>
      <c r="D57" s="9" t="s">
        <v>53</v>
      </c>
      <c r="E57" s="2">
        <v>3</v>
      </c>
      <c r="F57" s="1" t="s">
        <v>6</v>
      </c>
    </row>
    <row r="58" spans="1:8" x14ac:dyDescent="0.25">
      <c r="A58" s="8"/>
      <c r="B58" s="9" t="s">
        <v>172</v>
      </c>
      <c r="C58" s="10">
        <v>103</v>
      </c>
      <c r="D58" s="9" t="s">
        <v>214</v>
      </c>
      <c r="E58" s="2">
        <v>3</v>
      </c>
      <c r="F58" s="1" t="s">
        <v>6</v>
      </c>
    </row>
    <row r="59" spans="1:8" x14ac:dyDescent="0.25">
      <c r="B59" s="9" t="s">
        <v>172</v>
      </c>
      <c r="C59" s="10">
        <v>104</v>
      </c>
      <c r="D59" s="11" t="s">
        <v>280</v>
      </c>
      <c r="E59" s="2">
        <v>3</v>
      </c>
      <c r="F59" s="1" t="s">
        <v>6</v>
      </c>
    </row>
    <row r="60" spans="1:8" x14ac:dyDescent="0.25">
      <c r="B60" s="9" t="s">
        <v>172</v>
      </c>
      <c r="C60" s="10">
        <v>111</v>
      </c>
      <c r="D60" s="9" t="s">
        <v>44</v>
      </c>
      <c r="E60" s="2">
        <v>3</v>
      </c>
      <c r="F60" s="1" t="s">
        <v>6</v>
      </c>
    </row>
    <row r="61" spans="1:8" x14ac:dyDescent="0.25">
      <c r="B61" s="9" t="s">
        <v>172</v>
      </c>
      <c r="C61" s="10">
        <v>112</v>
      </c>
      <c r="D61" s="9" t="s">
        <v>50</v>
      </c>
      <c r="E61" s="7">
        <v>3</v>
      </c>
      <c r="F61" s="1" t="s">
        <v>6</v>
      </c>
    </row>
    <row r="62" spans="1:8" x14ac:dyDescent="0.25">
      <c r="B62" s="83" t="s">
        <v>54</v>
      </c>
      <c r="D62" s="9"/>
      <c r="E62" s="7"/>
      <c r="G62" s="6">
        <f>SUM(E63:E68)</f>
        <v>18</v>
      </c>
      <c r="H62" s="6" t="s">
        <v>6</v>
      </c>
    </row>
    <row r="63" spans="1:8" x14ac:dyDescent="0.25">
      <c r="A63" s="11"/>
      <c r="B63" s="9" t="s">
        <v>172</v>
      </c>
      <c r="C63" s="72">
        <v>105</v>
      </c>
      <c r="D63" s="11" t="s">
        <v>58</v>
      </c>
      <c r="E63" s="11">
        <v>3</v>
      </c>
      <c r="F63" s="11" t="s">
        <v>6</v>
      </c>
      <c r="G63" s="11"/>
      <c r="H63" s="11"/>
    </row>
    <row r="64" spans="1:8" x14ac:dyDescent="0.25">
      <c r="A64" s="8"/>
      <c r="B64" s="9" t="s">
        <v>172</v>
      </c>
      <c r="C64" s="10">
        <v>106</v>
      </c>
      <c r="D64" s="9" t="s">
        <v>35</v>
      </c>
      <c r="E64" s="7">
        <v>3</v>
      </c>
      <c r="F64" s="9" t="s">
        <v>6</v>
      </c>
    </row>
    <row r="65" spans="1:8" x14ac:dyDescent="0.25">
      <c r="A65" s="11"/>
      <c r="B65" s="9" t="s">
        <v>172</v>
      </c>
      <c r="C65" s="72">
        <v>107</v>
      </c>
      <c r="D65" s="11" t="s">
        <v>218</v>
      </c>
      <c r="E65" s="2">
        <v>3</v>
      </c>
      <c r="F65" s="1" t="s">
        <v>6</v>
      </c>
      <c r="G65" s="11"/>
      <c r="H65" s="11"/>
    </row>
    <row r="66" spans="1:8" x14ac:dyDescent="0.25">
      <c r="A66" s="11"/>
      <c r="B66" s="9" t="s">
        <v>172</v>
      </c>
      <c r="C66" s="72">
        <v>108</v>
      </c>
      <c r="D66" s="11" t="s">
        <v>64</v>
      </c>
      <c r="E66" s="11">
        <v>3</v>
      </c>
      <c r="F66" s="11" t="s">
        <v>6</v>
      </c>
      <c r="G66" s="11"/>
      <c r="H66" s="11"/>
    </row>
    <row r="67" spans="1:8" x14ac:dyDescent="0.25">
      <c r="A67" s="11"/>
      <c r="B67" s="9" t="s">
        <v>172</v>
      </c>
      <c r="C67" s="72">
        <v>109</v>
      </c>
      <c r="D67" s="11" t="s">
        <v>236</v>
      </c>
      <c r="E67" s="2">
        <v>3</v>
      </c>
      <c r="F67" s="1" t="s">
        <v>6</v>
      </c>
      <c r="G67" s="11"/>
      <c r="H67" s="11"/>
    </row>
    <row r="68" spans="1:8" x14ac:dyDescent="0.25">
      <c r="A68" s="11"/>
      <c r="B68" s="9" t="s">
        <v>172</v>
      </c>
      <c r="C68" s="72">
        <v>110</v>
      </c>
      <c r="D68" s="11" t="s">
        <v>60</v>
      </c>
      <c r="E68" s="11">
        <v>3</v>
      </c>
      <c r="F68" s="11" t="s">
        <v>6</v>
      </c>
      <c r="G68" s="11"/>
      <c r="H68" s="11"/>
    </row>
    <row r="69" spans="1:8" x14ac:dyDescent="0.25">
      <c r="E69" s="7"/>
    </row>
    <row r="70" spans="1:8" x14ac:dyDescent="0.25">
      <c r="A70" s="6" t="s">
        <v>68</v>
      </c>
      <c r="B70" s="2"/>
      <c r="C70" s="4"/>
      <c r="D70" s="2"/>
      <c r="F70" s="2"/>
      <c r="G70" s="6">
        <f>SUM(E71:E74)</f>
        <v>8</v>
      </c>
      <c r="H70" s="6" t="s">
        <v>6</v>
      </c>
    </row>
    <row r="71" spans="1:8" s="120" customFormat="1" ht="31.5" x14ac:dyDescent="0.25">
      <c r="A71" s="116"/>
      <c r="B71" s="117" t="s">
        <v>288</v>
      </c>
      <c r="C71" s="118">
        <v>1</v>
      </c>
      <c r="D71" s="117" t="s">
        <v>293</v>
      </c>
      <c r="E71" s="117">
        <v>2</v>
      </c>
      <c r="F71" s="117" t="s">
        <v>6</v>
      </c>
      <c r="G71" s="119"/>
      <c r="H71" s="119"/>
    </row>
    <row r="72" spans="1:8" s="120" customFormat="1" ht="31.5" x14ac:dyDescent="0.25">
      <c r="A72" s="116"/>
      <c r="B72" s="117" t="s">
        <v>288</v>
      </c>
      <c r="C72" s="118">
        <v>2</v>
      </c>
      <c r="D72" s="117" t="s">
        <v>294</v>
      </c>
      <c r="E72" s="117">
        <v>2</v>
      </c>
      <c r="F72" s="117" t="s">
        <v>6</v>
      </c>
      <c r="G72" s="119"/>
      <c r="H72" s="119"/>
    </row>
    <row r="73" spans="1:8" s="120" customFormat="1" ht="31.5" x14ac:dyDescent="0.25">
      <c r="A73" s="116"/>
      <c r="B73" s="117" t="s">
        <v>288</v>
      </c>
      <c r="C73" s="118">
        <v>3</v>
      </c>
      <c r="D73" s="117" t="s">
        <v>297</v>
      </c>
      <c r="E73" s="117">
        <v>2</v>
      </c>
      <c r="F73" s="117" t="s">
        <v>6</v>
      </c>
      <c r="G73" s="119"/>
      <c r="H73" s="119"/>
    </row>
    <row r="74" spans="1:8" s="120" customFormat="1" ht="31.5" x14ac:dyDescent="0.25">
      <c r="A74" s="116"/>
      <c r="B74" s="117" t="s">
        <v>288</v>
      </c>
      <c r="C74" s="118">
        <v>4</v>
      </c>
      <c r="D74" s="117" t="s">
        <v>298</v>
      </c>
      <c r="E74" s="117">
        <v>2</v>
      </c>
      <c r="F74" s="117" t="s">
        <v>6</v>
      </c>
      <c r="G74" s="119"/>
      <c r="H74" s="119"/>
    </row>
    <row r="75" spans="1:8" x14ac:dyDescent="0.25">
      <c r="B75" s="2"/>
      <c r="C75" s="4"/>
      <c r="D75" s="2"/>
      <c r="F75" s="2"/>
      <c r="H75" s="6"/>
    </row>
    <row r="76" spans="1:8" x14ac:dyDescent="0.25">
      <c r="A76" s="6" t="s">
        <v>73</v>
      </c>
      <c r="B76" s="2"/>
      <c r="C76" s="4"/>
      <c r="D76" s="2"/>
      <c r="F76" s="2"/>
      <c r="G76" s="6">
        <f>E77+E78</f>
        <v>6</v>
      </c>
      <c r="H76" s="6" t="s">
        <v>6</v>
      </c>
    </row>
    <row r="77" spans="1:8" x14ac:dyDescent="0.25">
      <c r="B77" s="2" t="s">
        <v>180</v>
      </c>
      <c r="C77" s="4">
        <v>1</v>
      </c>
      <c r="D77" s="2" t="s">
        <v>243</v>
      </c>
      <c r="E77" s="2">
        <v>3</v>
      </c>
      <c r="F77" s="2" t="s">
        <v>6</v>
      </c>
      <c r="H77" s="6"/>
    </row>
    <row r="78" spans="1:8" x14ac:dyDescent="0.25">
      <c r="B78" s="2" t="s">
        <v>180</v>
      </c>
      <c r="C78" s="4">
        <v>2</v>
      </c>
      <c r="D78" s="2" t="s">
        <v>244</v>
      </c>
      <c r="E78" s="2">
        <v>3</v>
      </c>
      <c r="F78" s="2" t="s">
        <v>6</v>
      </c>
      <c r="H78" s="6"/>
    </row>
    <row r="79" spans="1:8" x14ac:dyDescent="0.25">
      <c r="B79" s="2"/>
      <c r="C79" s="4"/>
      <c r="D79" s="2"/>
      <c r="F79" s="2"/>
      <c r="H79" s="6"/>
    </row>
    <row r="80" spans="1:8" x14ac:dyDescent="0.25">
      <c r="A80" s="6" t="s">
        <v>76</v>
      </c>
      <c r="B80" s="2"/>
      <c r="E80" s="7"/>
      <c r="F80" s="2"/>
      <c r="G80" s="6">
        <f>SUM(E81:E86)</f>
        <v>12</v>
      </c>
      <c r="H80" s="6" t="s">
        <v>6</v>
      </c>
    </row>
    <row r="81" spans="1:8" x14ac:dyDescent="0.25">
      <c r="B81" s="2" t="s">
        <v>245</v>
      </c>
      <c r="C81" s="4">
        <v>1</v>
      </c>
      <c r="D81" s="1" t="s">
        <v>78</v>
      </c>
      <c r="E81" s="7">
        <v>2</v>
      </c>
      <c r="F81" s="2" t="s">
        <v>6</v>
      </c>
      <c r="H81" s="6"/>
    </row>
    <row r="82" spans="1:8" x14ac:dyDescent="0.25">
      <c r="B82" s="2" t="s">
        <v>245</v>
      </c>
      <c r="C82" s="4">
        <v>2</v>
      </c>
      <c r="D82" s="1" t="s">
        <v>80</v>
      </c>
      <c r="E82" s="7">
        <v>2</v>
      </c>
      <c r="F82" s="2" t="s">
        <v>6</v>
      </c>
      <c r="H82" s="6"/>
    </row>
    <row r="83" spans="1:8" x14ac:dyDescent="0.25">
      <c r="B83" s="2" t="s">
        <v>245</v>
      </c>
      <c r="C83" s="4">
        <v>3</v>
      </c>
      <c r="D83" s="1" t="s">
        <v>82</v>
      </c>
      <c r="E83" s="7">
        <v>2</v>
      </c>
      <c r="F83" s="2" t="s">
        <v>6</v>
      </c>
      <c r="H83" s="6"/>
    </row>
    <row r="84" spans="1:8" x14ac:dyDescent="0.25">
      <c r="B84" s="2" t="s">
        <v>245</v>
      </c>
      <c r="C84" s="4">
        <v>4</v>
      </c>
      <c r="D84" s="1" t="s">
        <v>84</v>
      </c>
      <c r="E84" s="7">
        <v>2</v>
      </c>
      <c r="F84" s="2" t="s">
        <v>6</v>
      </c>
      <c r="H84" s="6"/>
    </row>
    <row r="85" spans="1:8" x14ac:dyDescent="0.25">
      <c r="B85" s="2" t="s">
        <v>245</v>
      </c>
      <c r="C85" s="4">
        <v>5</v>
      </c>
      <c r="D85" s="1" t="s">
        <v>86</v>
      </c>
      <c r="E85" s="7">
        <v>2</v>
      </c>
      <c r="F85" s="2" t="s">
        <v>6</v>
      </c>
      <c r="H85" s="6"/>
    </row>
    <row r="86" spans="1:8" x14ac:dyDescent="0.25">
      <c r="B86" s="2" t="s">
        <v>245</v>
      </c>
      <c r="C86" s="4">
        <v>6</v>
      </c>
      <c r="D86" s="1" t="s">
        <v>88</v>
      </c>
      <c r="E86" s="7">
        <v>2</v>
      </c>
      <c r="F86" s="2" t="s">
        <v>6</v>
      </c>
      <c r="H86" s="6"/>
    </row>
    <row r="87" spans="1:8" x14ac:dyDescent="0.25">
      <c r="B87" s="2"/>
      <c r="C87" s="4"/>
      <c r="E87" s="7"/>
      <c r="F87" s="2"/>
      <c r="H87" s="6"/>
    </row>
    <row r="88" spans="1:8" x14ac:dyDescent="0.25">
      <c r="A88" s="84"/>
      <c r="B88" s="84" t="s">
        <v>89</v>
      </c>
      <c r="C88" s="85"/>
      <c r="D88" s="84"/>
      <c r="E88" s="84"/>
      <c r="F88" s="132">
        <f>SUM(G8:G87)</f>
        <v>167</v>
      </c>
      <c r="G88" s="132"/>
      <c r="H88" s="84" t="s">
        <v>6</v>
      </c>
    </row>
    <row r="89" spans="1:8" x14ac:dyDescent="0.25">
      <c r="H89" s="7"/>
    </row>
  </sheetData>
  <mergeCells count="6">
    <mergeCell ref="F88:G88"/>
    <mergeCell ref="A1:H1"/>
    <mergeCell ref="A2:H2"/>
    <mergeCell ref="A3:H3"/>
    <mergeCell ref="A4:H4"/>
    <mergeCell ref="A5:H5"/>
  </mergeCells>
  <pageMargins left="0.5" right="0.5" top="0.75" bottom="0.75" header="0.3" footer="0.3"/>
  <pageSetup paperSize="14" orientation="portrait" horizontalDpi="0" verticalDpi="0" r:id="rId1"/>
  <headerFooter>
    <oddFooter>&amp;RPage 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CC8AA-F2AC-4A44-A67C-E93463488AED}">
  <dimension ref="A1:G115"/>
  <sheetViews>
    <sheetView tabSelected="1" topLeftCell="A97" zoomScale="130" zoomScaleNormal="130" workbookViewId="0">
      <selection activeCell="G104" sqref="G104:G107"/>
    </sheetView>
  </sheetViews>
  <sheetFormatPr defaultColWidth="9.28515625" defaultRowHeight="13.5" x14ac:dyDescent="0.25"/>
  <cols>
    <col min="1" max="1" width="9.85546875" style="67" customWidth="1"/>
    <col min="2" max="2" width="5.85546875" style="34" customWidth="1"/>
    <col min="3" max="3" width="39.42578125" style="91" customWidth="1"/>
    <col min="4" max="4" width="6.85546875" style="68" customWidth="1"/>
    <col min="5" max="5" width="6.85546875" style="80" customWidth="1"/>
    <col min="6" max="6" width="11.28515625" style="67" customWidth="1"/>
    <col min="7" max="7" width="12.85546875" style="87" customWidth="1"/>
    <col min="8" max="16384" width="9.28515625" style="67"/>
  </cols>
  <sheetData>
    <row r="1" spans="1:7" ht="12.75" x14ac:dyDescent="0.25">
      <c r="A1" s="133" t="s">
        <v>160</v>
      </c>
      <c r="B1" s="133"/>
      <c r="C1" s="133"/>
      <c r="D1" s="133"/>
      <c r="E1" s="133"/>
      <c r="F1" s="133"/>
      <c r="G1" s="133"/>
    </row>
    <row r="2" spans="1:7" ht="12.75" x14ac:dyDescent="0.25">
      <c r="A2" s="133" t="s">
        <v>2</v>
      </c>
      <c r="B2" s="133"/>
      <c r="C2" s="133"/>
      <c r="D2" s="133"/>
      <c r="E2" s="133"/>
      <c r="F2" s="133"/>
      <c r="G2" s="133"/>
    </row>
    <row r="3" spans="1:7" ht="12.75" x14ac:dyDescent="0.25">
      <c r="A3" s="133" t="s">
        <v>292</v>
      </c>
      <c r="B3" s="133"/>
      <c r="C3" s="133"/>
      <c r="D3" s="133"/>
      <c r="E3" s="133"/>
      <c r="F3" s="133"/>
      <c r="G3" s="133"/>
    </row>
    <row r="4" spans="1:7" ht="9.75" customHeight="1" x14ac:dyDescent="0.25">
      <c r="C4" s="91" t="s">
        <v>162</v>
      </c>
      <c r="E4" s="80" t="s">
        <v>284</v>
      </c>
    </row>
    <row r="5" spans="1:7" ht="15.75" customHeight="1" x14ac:dyDescent="0.25">
      <c r="A5" s="92" t="s">
        <v>256</v>
      </c>
      <c r="B5" s="93"/>
      <c r="C5" s="94"/>
      <c r="D5" s="80"/>
    </row>
    <row r="6" spans="1:7" ht="10.9" customHeight="1" x14ac:dyDescent="0.25">
      <c r="A6" s="134" t="s">
        <v>249</v>
      </c>
      <c r="B6" s="134"/>
      <c r="C6" s="134" t="s">
        <v>250</v>
      </c>
      <c r="D6" s="135" t="s">
        <v>255</v>
      </c>
      <c r="E6" s="135"/>
      <c r="F6" s="136" t="s">
        <v>252</v>
      </c>
      <c r="G6" s="137" t="s">
        <v>253</v>
      </c>
    </row>
    <row r="7" spans="1:7" ht="9.6" customHeight="1" x14ac:dyDescent="0.25">
      <c r="A7" s="134"/>
      <c r="B7" s="134"/>
      <c r="C7" s="134"/>
      <c r="D7" s="79" t="s">
        <v>251</v>
      </c>
      <c r="E7" s="79" t="s">
        <v>254</v>
      </c>
      <c r="F7" s="136"/>
      <c r="G7" s="138"/>
    </row>
    <row r="8" spans="1:7" x14ac:dyDescent="0.25">
      <c r="A8" s="97" t="s">
        <v>168</v>
      </c>
      <c r="B8" s="98">
        <v>1</v>
      </c>
      <c r="C8" s="99" t="s">
        <v>78</v>
      </c>
      <c r="D8" s="76">
        <v>2</v>
      </c>
      <c r="E8" s="82">
        <v>0</v>
      </c>
      <c r="F8" s="98" t="s">
        <v>289</v>
      </c>
      <c r="G8" s="101"/>
    </row>
    <row r="9" spans="1:7" x14ac:dyDescent="0.25">
      <c r="A9" s="102" t="s">
        <v>7</v>
      </c>
      <c r="B9" s="100">
        <v>1</v>
      </c>
      <c r="C9" s="103" t="s">
        <v>8</v>
      </c>
      <c r="D9" s="76">
        <v>3</v>
      </c>
      <c r="E9" s="82">
        <v>0</v>
      </c>
      <c r="F9" s="104">
        <v>3</v>
      </c>
      <c r="G9" s="101"/>
    </row>
    <row r="10" spans="1:7" x14ac:dyDescent="0.25">
      <c r="A10" s="102" t="s">
        <v>7</v>
      </c>
      <c r="B10" s="100">
        <v>2</v>
      </c>
      <c r="C10" s="103" t="s">
        <v>170</v>
      </c>
      <c r="D10" s="76">
        <v>3</v>
      </c>
      <c r="E10" s="82">
        <v>0</v>
      </c>
      <c r="F10" s="104">
        <v>3</v>
      </c>
      <c r="G10" s="101"/>
    </row>
    <row r="11" spans="1:7" x14ac:dyDescent="0.25">
      <c r="A11" s="102" t="s">
        <v>7</v>
      </c>
      <c r="B11" s="105">
        <v>3</v>
      </c>
      <c r="C11" s="103" t="s">
        <v>10</v>
      </c>
      <c r="D11" s="76">
        <v>3</v>
      </c>
      <c r="E11" s="82">
        <v>0</v>
      </c>
      <c r="F11" s="104">
        <v>3</v>
      </c>
      <c r="G11" s="101"/>
    </row>
    <row r="12" spans="1:7" ht="14.25" customHeight="1" x14ac:dyDescent="0.25">
      <c r="A12" s="102" t="s">
        <v>7</v>
      </c>
      <c r="B12" s="100">
        <v>4</v>
      </c>
      <c r="C12" s="103" t="s">
        <v>11</v>
      </c>
      <c r="D12" s="76">
        <v>3</v>
      </c>
      <c r="E12" s="82">
        <v>0</v>
      </c>
      <c r="F12" s="104">
        <v>3</v>
      </c>
      <c r="G12" s="101"/>
    </row>
    <row r="13" spans="1:7" ht="14.25" customHeight="1" x14ac:dyDescent="0.25">
      <c r="A13" s="102" t="s">
        <v>299</v>
      </c>
      <c r="B13" s="100">
        <v>1</v>
      </c>
      <c r="C13" s="103" t="s">
        <v>67</v>
      </c>
      <c r="D13" s="76">
        <v>3</v>
      </c>
      <c r="E13" s="82">
        <v>0</v>
      </c>
      <c r="F13" s="104">
        <v>3</v>
      </c>
      <c r="G13" s="101"/>
    </row>
    <row r="14" spans="1:7" ht="14.25" customHeight="1" x14ac:dyDescent="0.25">
      <c r="A14" s="102" t="s">
        <v>230</v>
      </c>
      <c r="B14" s="100">
        <v>101</v>
      </c>
      <c r="C14" s="103" t="s">
        <v>26</v>
      </c>
      <c r="D14" s="76">
        <v>2</v>
      </c>
      <c r="E14" s="82">
        <v>3</v>
      </c>
      <c r="F14" s="104">
        <v>3</v>
      </c>
      <c r="G14" s="101"/>
    </row>
    <row r="15" spans="1:7" ht="15" customHeight="1" x14ac:dyDescent="0.25">
      <c r="A15" s="102" t="s">
        <v>230</v>
      </c>
      <c r="B15" s="100">
        <v>102</v>
      </c>
      <c r="C15" s="103" t="s">
        <v>27</v>
      </c>
      <c r="D15" s="76">
        <v>2</v>
      </c>
      <c r="E15" s="82">
        <v>3</v>
      </c>
      <c r="F15" s="104">
        <v>3</v>
      </c>
      <c r="G15" s="101"/>
    </row>
    <row r="16" spans="1:7" ht="26.25" customHeight="1" x14ac:dyDescent="0.25">
      <c r="A16" s="106" t="s">
        <v>288</v>
      </c>
      <c r="B16" s="104">
        <v>1</v>
      </c>
      <c r="C16" s="99" t="s">
        <v>293</v>
      </c>
      <c r="D16" s="76">
        <v>2</v>
      </c>
      <c r="E16" s="82">
        <v>0</v>
      </c>
      <c r="F16" s="104">
        <v>2</v>
      </c>
      <c r="G16" s="101"/>
    </row>
    <row r="17" spans="1:7" x14ac:dyDescent="0.25">
      <c r="A17" s="101" t="s">
        <v>180</v>
      </c>
      <c r="B17" s="104">
        <v>1</v>
      </c>
      <c r="C17" s="99" t="s">
        <v>282</v>
      </c>
      <c r="D17" s="76">
        <v>3</v>
      </c>
      <c r="E17" s="82">
        <v>0</v>
      </c>
      <c r="F17" s="104">
        <v>3</v>
      </c>
      <c r="G17" s="101"/>
    </row>
    <row r="18" spans="1:7" x14ac:dyDescent="0.25">
      <c r="A18" s="107"/>
      <c r="B18" s="100"/>
      <c r="C18" s="108" t="s">
        <v>89</v>
      </c>
      <c r="D18" s="89"/>
      <c r="E18" s="79"/>
      <c r="F18" s="95">
        <f>SUM(F8:F17)</f>
        <v>26</v>
      </c>
      <c r="G18" s="102"/>
    </row>
    <row r="19" spans="1:7" ht="9" customHeight="1" x14ac:dyDescent="0.25">
      <c r="E19" s="68"/>
    </row>
    <row r="20" spans="1:7" ht="15" customHeight="1" x14ac:dyDescent="0.25">
      <c r="A20" s="92" t="s">
        <v>257</v>
      </c>
      <c r="B20" s="93"/>
      <c r="C20" s="94"/>
      <c r="D20" s="80"/>
    </row>
    <row r="21" spans="1:7" ht="10.9" customHeight="1" x14ac:dyDescent="0.25">
      <c r="A21" s="139" t="s">
        <v>249</v>
      </c>
      <c r="B21" s="140"/>
      <c r="C21" s="143" t="s">
        <v>250</v>
      </c>
      <c r="D21" s="145" t="s">
        <v>255</v>
      </c>
      <c r="E21" s="146"/>
      <c r="F21" s="137" t="s">
        <v>252</v>
      </c>
      <c r="G21" s="137" t="s">
        <v>253</v>
      </c>
    </row>
    <row r="22" spans="1:7" ht="9.6" customHeight="1" x14ac:dyDescent="0.25">
      <c r="A22" s="141"/>
      <c r="B22" s="142"/>
      <c r="C22" s="144"/>
      <c r="D22" s="79" t="s">
        <v>251</v>
      </c>
      <c r="E22" s="79" t="s">
        <v>254</v>
      </c>
      <c r="F22" s="138"/>
      <c r="G22" s="138"/>
    </row>
    <row r="23" spans="1:7" x14ac:dyDescent="0.25">
      <c r="A23" s="106" t="s">
        <v>168</v>
      </c>
      <c r="B23" s="104">
        <v>2</v>
      </c>
      <c r="C23" s="99" t="s">
        <v>80</v>
      </c>
      <c r="D23" s="76">
        <v>2</v>
      </c>
      <c r="E23" s="82">
        <v>0</v>
      </c>
      <c r="F23" s="98" t="s">
        <v>289</v>
      </c>
      <c r="G23" s="101"/>
    </row>
    <row r="24" spans="1:7" x14ac:dyDescent="0.25">
      <c r="A24" s="102" t="s">
        <v>7</v>
      </c>
      <c r="B24" s="104">
        <v>5</v>
      </c>
      <c r="C24" s="99" t="s">
        <v>12</v>
      </c>
      <c r="D24" s="76">
        <v>3</v>
      </c>
      <c r="E24" s="82">
        <v>0</v>
      </c>
      <c r="F24" s="104">
        <v>3</v>
      </c>
      <c r="G24" s="101"/>
    </row>
    <row r="25" spans="1:7" x14ac:dyDescent="0.25">
      <c r="A25" s="102" t="s">
        <v>7</v>
      </c>
      <c r="B25" s="100">
        <v>6</v>
      </c>
      <c r="C25" s="99" t="s">
        <v>13</v>
      </c>
      <c r="D25" s="76">
        <v>3</v>
      </c>
      <c r="E25" s="82">
        <v>0</v>
      </c>
      <c r="F25" s="104">
        <v>3</v>
      </c>
      <c r="G25" s="101"/>
    </row>
    <row r="26" spans="1:7" x14ac:dyDescent="0.25">
      <c r="A26" s="106" t="s">
        <v>7</v>
      </c>
      <c r="B26" s="104">
        <v>10</v>
      </c>
      <c r="C26" s="99" t="s">
        <v>287</v>
      </c>
      <c r="D26" s="76">
        <v>3</v>
      </c>
      <c r="E26" s="82">
        <v>0</v>
      </c>
      <c r="F26" s="100">
        <v>3</v>
      </c>
      <c r="G26" s="102"/>
    </row>
    <row r="27" spans="1:7" x14ac:dyDescent="0.25">
      <c r="A27" s="107" t="s">
        <v>230</v>
      </c>
      <c r="B27" s="100">
        <v>103</v>
      </c>
      <c r="C27" s="103" t="s">
        <v>28</v>
      </c>
      <c r="D27" s="76">
        <v>2</v>
      </c>
      <c r="E27" s="82">
        <v>3</v>
      </c>
      <c r="F27" s="104">
        <v>3</v>
      </c>
      <c r="G27" s="102" t="s">
        <v>231</v>
      </c>
    </row>
    <row r="28" spans="1:7" x14ac:dyDescent="0.25">
      <c r="A28" s="107" t="s">
        <v>25</v>
      </c>
      <c r="B28" s="100">
        <v>101</v>
      </c>
      <c r="C28" s="103" t="s">
        <v>39</v>
      </c>
      <c r="D28" s="76">
        <v>3</v>
      </c>
      <c r="E28" s="82">
        <v>0</v>
      </c>
      <c r="F28" s="104">
        <v>3</v>
      </c>
      <c r="G28" s="102" t="s">
        <v>96</v>
      </c>
    </row>
    <row r="29" spans="1:7" x14ac:dyDescent="0.25">
      <c r="A29" s="107" t="s">
        <v>25</v>
      </c>
      <c r="B29" s="104">
        <v>102</v>
      </c>
      <c r="C29" s="99" t="s">
        <v>33</v>
      </c>
      <c r="D29" s="76">
        <v>2</v>
      </c>
      <c r="E29" s="82">
        <v>3</v>
      </c>
      <c r="F29" s="104">
        <v>3</v>
      </c>
      <c r="G29" s="101" t="s">
        <v>231</v>
      </c>
    </row>
    <row r="30" spans="1:7" ht="26.25" customHeight="1" x14ac:dyDescent="0.25">
      <c r="A30" s="106" t="s">
        <v>288</v>
      </c>
      <c r="B30" s="104">
        <v>2</v>
      </c>
      <c r="C30" s="99" t="s">
        <v>294</v>
      </c>
      <c r="D30" s="76">
        <v>2</v>
      </c>
      <c r="E30" s="82">
        <v>0</v>
      </c>
      <c r="F30" s="104">
        <v>2</v>
      </c>
      <c r="G30" s="101"/>
    </row>
    <row r="31" spans="1:7" x14ac:dyDescent="0.25">
      <c r="A31" s="106" t="s">
        <v>180</v>
      </c>
      <c r="B31" s="104">
        <v>2</v>
      </c>
      <c r="C31" s="99" t="s">
        <v>283</v>
      </c>
      <c r="D31" s="76">
        <v>3</v>
      </c>
      <c r="E31" s="82">
        <v>0</v>
      </c>
      <c r="F31" s="104">
        <v>3</v>
      </c>
      <c r="G31" s="101"/>
    </row>
    <row r="32" spans="1:7" x14ac:dyDescent="0.25">
      <c r="A32" s="107"/>
      <c r="B32" s="100"/>
      <c r="C32" s="108" t="s">
        <v>89</v>
      </c>
      <c r="D32" s="76"/>
      <c r="E32" s="78"/>
      <c r="F32" s="95">
        <f>SUM(F24:F31)</f>
        <v>23</v>
      </c>
      <c r="G32" s="102"/>
    </row>
    <row r="33" spans="1:7" ht="9" customHeight="1" x14ac:dyDescent="0.25">
      <c r="E33" s="68"/>
    </row>
    <row r="34" spans="1:7" ht="15.75" customHeight="1" x14ac:dyDescent="0.25">
      <c r="A34" s="92" t="s">
        <v>258</v>
      </c>
      <c r="B34" s="93"/>
      <c r="C34" s="94"/>
      <c r="D34" s="80"/>
    </row>
    <row r="35" spans="1:7" ht="10.9" customHeight="1" x14ac:dyDescent="0.25">
      <c r="A35" s="139" t="s">
        <v>249</v>
      </c>
      <c r="B35" s="140"/>
      <c r="C35" s="143" t="s">
        <v>250</v>
      </c>
      <c r="D35" s="145" t="s">
        <v>255</v>
      </c>
      <c r="E35" s="146"/>
      <c r="F35" s="137" t="s">
        <v>252</v>
      </c>
      <c r="G35" s="137" t="s">
        <v>253</v>
      </c>
    </row>
    <row r="36" spans="1:7" ht="9.6" customHeight="1" x14ac:dyDescent="0.25">
      <c r="A36" s="141"/>
      <c r="B36" s="142"/>
      <c r="C36" s="144"/>
      <c r="D36" s="79" t="s">
        <v>251</v>
      </c>
      <c r="E36" s="79" t="s">
        <v>254</v>
      </c>
      <c r="F36" s="138"/>
      <c r="G36" s="138"/>
    </row>
    <row r="37" spans="1:7" x14ac:dyDescent="0.25">
      <c r="A37" s="106" t="s">
        <v>7</v>
      </c>
      <c r="B37" s="104">
        <v>11</v>
      </c>
      <c r="C37" s="109" t="s">
        <v>246</v>
      </c>
      <c r="D37" s="76">
        <v>3</v>
      </c>
      <c r="E37" s="82">
        <v>0</v>
      </c>
      <c r="F37" s="104">
        <v>3</v>
      </c>
      <c r="G37" s="104"/>
    </row>
    <row r="38" spans="1:7" x14ac:dyDescent="0.25">
      <c r="A38" s="107" t="s">
        <v>172</v>
      </c>
      <c r="B38" s="100">
        <v>101</v>
      </c>
      <c r="C38" s="99" t="s">
        <v>51</v>
      </c>
      <c r="D38" s="76">
        <v>2</v>
      </c>
      <c r="E38" s="82">
        <v>3</v>
      </c>
      <c r="F38" s="104">
        <v>3</v>
      </c>
      <c r="G38" s="101" t="s">
        <v>267</v>
      </c>
    </row>
    <row r="39" spans="1:7" x14ac:dyDescent="0.25">
      <c r="A39" s="106" t="s">
        <v>172</v>
      </c>
      <c r="B39" s="104">
        <v>102</v>
      </c>
      <c r="C39" s="99" t="s">
        <v>53</v>
      </c>
      <c r="D39" s="76">
        <v>2</v>
      </c>
      <c r="E39" s="82">
        <v>3</v>
      </c>
      <c r="F39" s="104">
        <v>3</v>
      </c>
      <c r="G39" s="101" t="s">
        <v>267</v>
      </c>
    </row>
    <row r="40" spans="1:7" x14ac:dyDescent="0.25">
      <c r="A40" s="106"/>
      <c r="B40" s="104"/>
      <c r="C40" s="108" t="s">
        <v>89</v>
      </c>
      <c r="D40" s="90"/>
      <c r="E40" s="90"/>
      <c r="F40" s="96">
        <f ca="1">SUM(F37:F51)</f>
        <v>9</v>
      </c>
      <c r="G40" s="104"/>
    </row>
    <row r="41" spans="1:7" ht="10.15" customHeight="1" x14ac:dyDescent="0.25">
      <c r="A41" s="35"/>
      <c r="B41" s="65"/>
      <c r="C41" s="110"/>
      <c r="D41" s="81"/>
      <c r="E41" s="81"/>
      <c r="F41" s="35"/>
      <c r="G41" s="111"/>
    </row>
    <row r="42" spans="1:7" x14ac:dyDescent="0.25">
      <c r="A42" s="92" t="s">
        <v>259</v>
      </c>
      <c r="B42" s="93"/>
      <c r="C42" s="112"/>
      <c r="D42" s="88"/>
      <c r="E42" s="88"/>
      <c r="G42" s="67"/>
    </row>
    <row r="43" spans="1:7" ht="10.9" customHeight="1" x14ac:dyDescent="0.25">
      <c r="A43" s="139" t="s">
        <v>249</v>
      </c>
      <c r="B43" s="140"/>
      <c r="C43" s="134" t="s">
        <v>250</v>
      </c>
      <c r="D43" s="135" t="s">
        <v>255</v>
      </c>
      <c r="E43" s="135"/>
      <c r="F43" s="137" t="s">
        <v>252</v>
      </c>
      <c r="G43" s="137" t="s">
        <v>253</v>
      </c>
    </row>
    <row r="44" spans="1:7" ht="9.6" customHeight="1" x14ac:dyDescent="0.25">
      <c r="A44" s="141"/>
      <c r="B44" s="142"/>
      <c r="C44" s="134"/>
      <c r="D44" s="79" t="s">
        <v>251</v>
      </c>
      <c r="E44" s="79" t="s">
        <v>254</v>
      </c>
      <c r="F44" s="138"/>
      <c r="G44" s="138"/>
    </row>
    <row r="45" spans="1:7" ht="14.25" customHeight="1" x14ac:dyDescent="0.25">
      <c r="A45" s="99" t="s">
        <v>168</v>
      </c>
      <c r="B45" s="98">
        <v>3</v>
      </c>
      <c r="C45" s="99" t="s">
        <v>186</v>
      </c>
      <c r="D45" s="76">
        <v>2</v>
      </c>
      <c r="E45" s="82">
        <v>0</v>
      </c>
      <c r="F45" s="98" t="s">
        <v>289</v>
      </c>
      <c r="G45" s="97"/>
    </row>
    <row r="46" spans="1:7" ht="12.75" customHeight="1" x14ac:dyDescent="0.25">
      <c r="A46" s="102" t="s">
        <v>7</v>
      </c>
      <c r="B46" s="104">
        <v>7</v>
      </c>
      <c r="C46" s="99" t="s">
        <v>14</v>
      </c>
      <c r="D46" s="76">
        <v>3</v>
      </c>
      <c r="E46" s="82">
        <v>0</v>
      </c>
      <c r="F46" s="104">
        <v>3</v>
      </c>
      <c r="G46" s="101"/>
    </row>
    <row r="47" spans="1:7" ht="15" customHeight="1" x14ac:dyDescent="0.25">
      <c r="A47" s="99" t="s">
        <v>7</v>
      </c>
      <c r="B47" s="98">
        <v>9</v>
      </c>
      <c r="C47" s="103" t="s">
        <v>16</v>
      </c>
      <c r="D47" s="76">
        <v>3</v>
      </c>
      <c r="E47" s="82">
        <v>0</v>
      </c>
      <c r="F47" s="104">
        <v>3</v>
      </c>
      <c r="G47" s="102"/>
    </row>
    <row r="48" spans="1:7" x14ac:dyDescent="0.25">
      <c r="A48" s="107" t="s">
        <v>230</v>
      </c>
      <c r="B48" s="100">
        <v>104</v>
      </c>
      <c r="C48" s="103" t="s">
        <v>29</v>
      </c>
      <c r="D48" s="76">
        <v>3</v>
      </c>
      <c r="E48" s="82">
        <v>0</v>
      </c>
      <c r="F48" s="104">
        <v>3</v>
      </c>
      <c r="G48" s="101" t="s">
        <v>267</v>
      </c>
    </row>
    <row r="49" spans="1:7" x14ac:dyDescent="0.25">
      <c r="A49" s="107" t="s">
        <v>230</v>
      </c>
      <c r="B49" s="100">
        <v>105</v>
      </c>
      <c r="C49" s="99" t="s">
        <v>213</v>
      </c>
      <c r="D49" s="76">
        <v>2</v>
      </c>
      <c r="E49" s="82">
        <v>3</v>
      </c>
      <c r="F49" s="104">
        <v>3</v>
      </c>
      <c r="G49" s="101" t="s">
        <v>267</v>
      </c>
    </row>
    <row r="50" spans="1:7" ht="15.75" customHeight="1" x14ac:dyDescent="0.25">
      <c r="A50" s="102" t="s">
        <v>25</v>
      </c>
      <c r="B50" s="100">
        <v>201</v>
      </c>
      <c r="C50" s="109" t="s">
        <v>38</v>
      </c>
      <c r="D50" s="76">
        <v>2</v>
      </c>
      <c r="E50" s="76">
        <v>3</v>
      </c>
      <c r="F50" s="104">
        <v>3</v>
      </c>
      <c r="G50" s="102" t="s">
        <v>279</v>
      </c>
    </row>
    <row r="51" spans="1:7" x14ac:dyDescent="0.25">
      <c r="A51" s="107" t="s">
        <v>172</v>
      </c>
      <c r="B51" s="100">
        <v>103</v>
      </c>
      <c r="C51" s="103" t="s">
        <v>214</v>
      </c>
      <c r="D51" s="76">
        <v>2</v>
      </c>
      <c r="E51" s="82">
        <v>3</v>
      </c>
      <c r="F51" s="100">
        <v>3</v>
      </c>
      <c r="G51" s="107" t="s">
        <v>174</v>
      </c>
    </row>
    <row r="52" spans="1:7" ht="24.75" customHeight="1" x14ac:dyDescent="0.25">
      <c r="A52" s="106" t="s">
        <v>288</v>
      </c>
      <c r="B52" s="104">
        <v>3</v>
      </c>
      <c r="C52" s="99" t="s">
        <v>295</v>
      </c>
      <c r="D52" s="76">
        <v>2</v>
      </c>
      <c r="E52" s="82">
        <v>0</v>
      </c>
      <c r="F52" s="104">
        <v>2</v>
      </c>
      <c r="G52" s="101"/>
    </row>
    <row r="53" spans="1:7" ht="15.75" customHeight="1" x14ac:dyDescent="0.25">
      <c r="A53" s="107"/>
      <c r="B53" s="100"/>
      <c r="C53" s="108" t="s">
        <v>89</v>
      </c>
      <c r="D53" s="78"/>
      <c r="E53" s="78"/>
      <c r="F53" s="96">
        <f>SUM(F46:F52)</f>
        <v>20</v>
      </c>
      <c r="G53" s="102"/>
    </row>
    <row r="54" spans="1:7" ht="10.15" customHeight="1" x14ac:dyDescent="0.25">
      <c r="D54" s="81"/>
    </row>
    <row r="55" spans="1:7" ht="15" customHeight="1" x14ac:dyDescent="0.25">
      <c r="A55" s="92" t="s">
        <v>260</v>
      </c>
      <c r="B55" s="93"/>
      <c r="C55" s="94"/>
      <c r="D55" s="80"/>
    </row>
    <row r="56" spans="1:7" ht="10.9" customHeight="1" x14ac:dyDescent="0.25">
      <c r="A56" s="139" t="s">
        <v>249</v>
      </c>
      <c r="B56" s="140"/>
      <c r="C56" s="143" t="s">
        <v>250</v>
      </c>
      <c r="D56" s="145" t="s">
        <v>255</v>
      </c>
      <c r="E56" s="146"/>
      <c r="F56" s="137" t="s">
        <v>252</v>
      </c>
      <c r="G56" s="137" t="s">
        <v>253</v>
      </c>
    </row>
    <row r="57" spans="1:7" ht="9.6" customHeight="1" x14ac:dyDescent="0.25">
      <c r="A57" s="141"/>
      <c r="B57" s="142"/>
      <c r="C57" s="144"/>
      <c r="D57" s="79" t="s">
        <v>251</v>
      </c>
      <c r="E57" s="79" t="s">
        <v>254</v>
      </c>
      <c r="F57" s="138"/>
      <c r="G57" s="138"/>
    </row>
    <row r="58" spans="1:7" ht="15.75" customHeight="1" x14ac:dyDescent="0.25">
      <c r="A58" s="99" t="s">
        <v>168</v>
      </c>
      <c r="B58" s="98">
        <v>4</v>
      </c>
      <c r="C58" s="99" t="s">
        <v>84</v>
      </c>
      <c r="D58" s="76">
        <v>2</v>
      </c>
      <c r="E58" s="82">
        <v>0</v>
      </c>
      <c r="F58" s="98" t="s">
        <v>289</v>
      </c>
      <c r="G58" s="105"/>
    </row>
    <row r="59" spans="1:7" ht="15.75" customHeight="1" x14ac:dyDescent="0.25">
      <c r="A59" s="107" t="s">
        <v>7</v>
      </c>
      <c r="B59" s="100">
        <v>12</v>
      </c>
      <c r="C59" s="103" t="s">
        <v>225</v>
      </c>
      <c r="D59" s="76">
        <v>3</v>
      </c>
      <c r="E59" s="76">
        <v>0</v>
      </c>
      <c r="F59" s="104">
        <v>3</v>
      </c>
      <c r="G59" s="102"/>
    </row>
    <row r="60" spans="1:7" ht="15.75" customHeight="1" x14ac:dyDescent="0.25">
      <c r="A60" s="106" t="s">
        <v>230</v>
      </c>
      <c r="B60" s="104">
        <v>106</v>
      </c>
      <c r="C60" s="99" t="s">
        <v>30</v>
      </c>
      <c r="D60" s="76">
        <v>2</v>
      </c>
      <c r="E60" s="76">
        <v>3</v>
      </c>
      <c r="F60" s="100">
        <v>3</v>
      </c>
      <c r="G60" s="102" t="s">
        <v>267</v>
      </c>
    </row>
    <row r="61" spans="1:7" ht="15.75" customHeight="1" x14ac:dyDescent="0.25">
      <c r="A61" s="107" t="s">
        <v>175</v>
      </c>
      <c r="B61" s="100">
        <v>202</v>
      </c>
      <c r="C61" s="103" t="s">
        <v>40</v>
      </c>
      <c r="D61" s="76">
        <v>2</v>
      </c>
      <c r="E61" s="76">
        <v>3</v>
      </c>
      <c r="F61" s="100">
        <v>3</v>
      </c>
      <c r="G61" s="102" t="s">
        <v>268</v>
      </c>
    </row>
    <row r="62" spans="1:7" x14ac:dyDescent="0.25">
      <c r="A62" s="106" t="s">
        <v>25</v>
      </c>
      <c r="B62" s="100">
        <v>203</v>
      </c>
      <c r="C62" s="109" t="s">
        <v>44</v>
      </c>
      <c r="D62" s="76">
        <v>2</v>
      </c>
      <c r="E62" s="76">
        <v>3</v>
      </c>
      <c r="F62" s="104">
        <v>3</v>
      </c>
      <c r="G62" s="102" t="s">
        <v>272</v>
      </c>
    </row>
    <row r="63" spans="1:7" ht="15.75" customHeight="1" x14ac:dyDescent="0.25">
      <c r="A63" s="107" t="s">
        <v>172</v>
      </c>
      <c r="B63" s="100">
        <v>104</v>
      </c>
      <c r="C63" s="103" t="s">
        <v>280</v>
      </c>
      <c r="D63" s="76">
        <v>2</v>
      </c>
      <c r="E63" s="76">
        <v>3</v>
      </c>
      <c r="F63" s="104">
        <v>3</v>
      </c>
      <c r="G63" s="101"/>
    </row>
    <row r="64" spans="1:7" ht="15.75" customHeight="1" x14ac:dyDescent="0.25">
      <c r="A64" s="106" t="s">
        <v>172</v>
      </c>
      <c r="B64" s="104">
        <v>105</v>
      </c>
      <c r="C64" s="99" t="s">
        <v>58</v>
      </c>
      <c r="D64" s="76">
        <v>3</v>
      </c>
      <c r="E64" s="76">
        <v>0</v>
      </c>
      <c r="F64" s="100">
        <v>3</v>
      </c>
      <c r="G64" s="102"/>
    </row>
    <row r="65" spans="1:7" ht="24.75" customHeight="1" x14ac:dyDescent="0.25">
      <c r="A65" s="106" t="s">
        <v>288</v>
      </c>
      <c r="B65" s="104">
        <v>4</v>
      </c>
      <c r="C65" s="99" t="s">
        <v>296</v>
      </c>
      <c r="D65" s="76">
        <v>2</v>
      </c>
      <c r="E65" s="82">
        <v>0</v>
      </c>
      <c r="F65" s="104">
        <v>2</v>
      </c>
      <c r="G65" s="101"/>
    </row>
    <row r="66" spans="1:7" ht="15.75" customHeight="1" x14ac:dyDescent="0.25">
      <c r="A66" s="107"/>
      <c r="B66" s="100"/>
      <c r="C66" s="108" t="s">
        <v>89</v>
      </c>
      <c r="D66" s="90"/>
      <c r="E66" s="90"/>
      <c r="F66" s="95">
        <f>SUM(F59:F65)</f>
        <v>20</v>
      </c>
      <c r="G66" s="100"/>
    </row>
    <row r="67" spans="1:7" ht="15.75" customHeight="1" x14ac:dyDescent="0.25">
      <c r="D67" s="81"/>
    </row>
    <row r="68" spans="1:7" ht="15" customHeight="1" x14ac:dyDescent="0.25">
      <c r="A68" s="92" t="s">
        <v>261</v>
      </c>
      <c r="B68" s="93"/>
      <c r="C68" s="94"/>
      <c r="D68" s="80"/>
    </row>
    <row r="69" spans="1:7" ht="10.9" customHeight="1" x14ac:dyDescent="0.25">
      <c r="A69" s="139" t="s">
        <v>249</v>
      </c>
      <c r="B69" s="140"/>
      <c r="C69" s="143" t="s">
        <v>250</v>
      </c>
      <c r="D69" s="145" t="s">
        <v>255</v>
      </c>
      <c r="E69" s="146"/>
      <c r="F69" s="137" t="s">
        <v>252</v>
      </c>
      <c r="G69" s="137" t="s">
        <v>253</v>
      </c>
    </row>
    <row r="70" spans="1:7" ht="9.6" customHeight="1" x14ac:dyDescent="0.25">
      <c r="A70" s="141"/>
      <c r="B70" s="142"/>
      <c r="C70" s="144"/>
      <c r="D70" s="79" t="s">
        <v>251</v>
      </c>
      <c r="E70" s="79" t="s">
        <v>254</v>
      </c>
      <c r="F70" s="138"/>
      <c r="G70" s="138"/>
    </row>
    <row r="71" spans="1:7" x14ac:dyDescent="0.25">
      <c r="A71" s="106" t="s">
        <v>7</v>
      </c>
      <c r="B71" s="104">
        <v>8</v>
      </c>
      <c r="C71" s="99" t="s">
        <v>15</v>
      </c>
      <c r="D71" s="76">
        <v>3</v>
      </c>
      <c r="E71" s="82">
        <v>0</v>
      </c>
      <c r="F71" s="104">
        <v>3</v>
      </c>
      <c r="G71" s="104"/>
    </row>
    <row r="72" spans="1:7" x14ac:dyDescent="0.25">
      <c r="A72" s="106" t="s">
        <v>175</v>
      </c>
      <c r="B72" s="104">
        <v>204</v>
      </c>
      <c r="C72" s="99" t="s">
        <v>34</v>
      </c>
      <c r="D72" s="76">
        <v>2</v>
      </c>
      <c r="E72" s="76">
        <v>3</v>
      </c>
      <c r="F72" s="104">
        <v>3</v>
      </c>
      <c r="G72" s="102" t="s">
        <v>277</v>
      </c>
    </row>
    <row r="73" spans="1:7" ht="15.75" customHeight="1" x14ac:dyDescent="0.25">
      <c r="A73" s="107"/>
      <c r="B73" s="100"/>
      <c r="C73" s="108" t="s">
        <v>89</v>
      </c>
      <c r="D73" s="89"/>
      <c r="E73" s="89"/>
      <c r="F73" s="95">
        <f>SUM(F72:F72)</f>
        <v>3</v>
      </c>
      <c r="G73" s="107"/>
    </row>
    <row r="74" spans="1:7" ht="8.4499999999999993" customHeight="1" x14ac:dyDescent="0.25">
      <c r="E74" s="68"/>
      <c r="F74" s="35"/>
      <c r="G74" s="111"/>
    </row>
    <row r="75" spans="1:7" ht="13.9" customHeight="1" x14ac:dyDescent="0.25">
      <c r="E75" s="68"/>
      <c r="F75" s="35"/>
      <c r="G75" s="111"/>
    </row>
    <row r="76" spans="1:7" x14ac:dyDescent="0.25">
      <c r="A76" s="92" t="s">
        <v>262</v>
      </c>
      <c r="B76" s="93"/>
      <c r="C76" s="112"/>
      <c r="D76" s="88"/>
      <c r="E76" s="88"/>
      <c r="G76" s="67"/>
    </row>
    <row r="77" spans="1:7" ht="10.9" customHeight="1" x14ac:dyDescent="0.25">
      <c r="A77" s="139" t="s">
        <v>249</v>
      </c>
      <c r="B77" s="140"/>
      <c r="C77" s="143" t="s">
        <v>250</v>
      </c>
      <c r="D77" s="145" t="s">
        <v>255</v>
      </c>
      <c r="E77" s="146"/>
      <c r="F77" s="137" t="s">
        <v>252</v>
      </c>
      <c r="G77" s="137" t="s">
        <v>253</v>
      </c>
    </row>
    <row r="78" spans="1:7" ht="9.6" customHeight="1" x14ac:dyDescent="0.25">
      <c r="A78" s="141"/>
      <c r="B78" s="142"/>
      <c r="C78" s="144"/>
      <c r="D78" s="79" t="s">
        <v>251</v>
      </c>
      <c r="E78" s="79" t="s">
        <v>254</v>
      </c>
      <c r="F78" s="138"/>
      <c r="G78" s="138"/>
    </row>
    <row r="79" spans="1:7" ht="15" customHeight="1" x14ac:dyDescent="0.25">
      <c r="A79" s="99" t="s">
        <v>168</v>
      </c>
      <c r="B79" s="98">
        <v>5</v>
      </c>
      <c r="C79" s="99" t="s">
        <v>86</v>
      </c>
      <c r="D79" s="76">
        <v>2</v>
      </c>
      <c r="E79" s="82">
        <v>0</v>
      </c>
      <c r="F79" s="98" t="s">
        <v>289</v>
      </c>
      <c r="G79" s="97"/>
    </row>
    <row r="80" spans="1:7" x14ac:dyDescent="0.25">
      <c r="A80" s="107" t="s">
        <v>175</v>
      </c>
      <c r="B80" s="100">
        <v>301</v>
      </c>
      <c r="C80" s="103" t="s">
        <v>221</v>
      </c>
      <c r="D80" s="76">
        <v>3</v>
      </c>
      <c r="E80" s="76">
        <v>0</v>
      </c>
      <c r="F80" s="100">
        <v>3</v>
      </c>
      <c r="G80" s="102" t="s">
        <v>271</v>
      </c>
    </row>
    <row r="81" spans="1:7" x14ac:dyDescent="0.25">
      <c r="A81" s="107" t="s">
        <v>25</v>
      </c>
      <c r="B81" s="104">
        <v>302</v>
      </c>
      <c r="C81" s="103" t="s">
        <v>41</v>
      </c>
      <c r="D81" s="77">
        <v>2</v>
      </c>
      <c r="E81" s="77">
        <v>3</v>
      </c>
      <c r="F81" s="104">
        <v>3</v>
      </c>
      <c r="G81" s="101" t="s">
        <v>269</v>
      </c>
    </row>
    <row r="82" spans="1:7" x14ac:dyDescent="0.25">
      <c r="A82" s="107" t="s">
        <v>175</v>
      </c>
      <c r="B82" s="100">
        <v>303</v>
      </c>
      <c r="C82" s="103" t="s">
        <v>196</v>
      </c>
      <c r="D82" s="76">
        <v>2</v>
      </c>
      <c r="E82" s="76">
        <v>3</v>
      </c>
      <c r="F82" s="100">
        <v>3</v>
      </c>
      <c r="G82" s="102" t="s">
        <v>270</v>
      </c>
    </row>
    <row r="83" spans="1:7" x14ac:dyDescent="0.25">
      <c r="A83" s="107" t="s">
        <v>175</v>
      </c>
      <c r="B83" s="104">
        <v>304</v>
      </c>
      <c r="C83" s="99" t="s">
        <v>219</v>
      </c>
      <c r="D83" s="76">
        <v>3</v>
      </c>
      <c r="E83" s="76">
        <v>0</v>
      </c>
      <c r="F83" s="104">
        <v>3</v>
      </c>
      <c r="G83" s="101"/>
    </row>
    <row r="84" spans="1:7" x14ac:dyDescent="0.25">
      <c r="A84" s="107" t="s">
        <v>172</v>
      </c>
      <c r="B84" s="104">
        <v>106</v>
      </c>
      <c r="C84" s="99" t="s">
        <v>35</v>
      </c>
      <c r="D84" s="76">
        <v>2</v>
      </c>
      <c r="E84" s="76">
        <v>3</v>
      </c>
      <c r="F84" s="104">
        <v>3</v>
      </c>
      <c r="G84" s="101" t="s">
        <v>278</v>
      </c>
    </row>
    <row r="85" spans="1:7" x14ac:dyDescent="0.25">
      <c r="A85" s="107" t="s">
        <v>172</v>
      </c>
      <c r="B85" s="100">
        <v>107</v>
      </c>
      <c r="C85" s="103" t="s">
        <v>218</v>
      </c>
      <c r="D85" s="76">
        <v>2</v>
      </c>
      <c r="E85" s="76">
        <v>3</v>
      </c>
      <c r="F85" s="100">
        <v>3</v>
      </c>
      <c r="G85" s="102" t="s">
        <v>274</v>
      </c>
    </row>
    <row r="86" spans="1:7" x14ac:dyDescent="0.25">
      <c r="A86" s="106"/>
      <c r="B86" s="113"/>
      <c r="C86" s="108" t="s">
        <v>89</v>
      </c>
      <c r="D86" s="89"/>
      <c r="E86" s="89"/>
      <c r="F86" s="96">
        <f>SUM(F80:F85)</f>
        <v>18</v>
      </c>
      <c r="G86" s="101"/>
    </row>
    <row r="87" spans="1:7" ht="9" customHeight="1" x14ac:dyDescent="0.25">
      <c r="A87" s="35"/>
      <c r="B87" s="114"/>
      <c r="C87" s="115"/>
      <c r="D87" s="81"/>
      <c r="E87" s="81"/>
      <c r="F87" s="35"/>
      <c r="G87" s="111"/>
    </row>
    <row r="88" spans="1:7" ht="15" customHeight="1" x14ac:dyDescent="0.25">
      <c r="A88" s="92" t="s">
        <v>264</v>
      </c>
      <c r="B88" s="93"/>
      <c r="C88" s="94"/>
      <c r="E88" s="68"/>
    </row>
    <row r="89" spans="1:7" ht="10.9" customHeight="1" x14ac:dyDescent="0.25">
      <c r="A89" s="139" t="s">
        <v>249</v>
      </c>
      <c r="B89" s="140"/>
      <c r="C89" s="143" t="s">
        <v>250</v>
      </c>
      <c r="D89" s="145" t="s">
        <v>255</v>
      </c>
      <c r="E89" s="146"/>
      <c r="F89" s="137" t="s">
        <v>252</v>
      </c>
      <c r="G89" s="137" t="s">
        <v>253</v>
      </c>
    </row>
    <row r="90" spans="1:7" ht="9.6" customHeight="1" x14ac:dyDescent="0.25">
      <c r="A90" s="141"/>
      <c r="B90" s="142"/>
      <c r="C90" s="144"/>
      <c r="D90" s="79" t="s">
        <v>251</v>
      </c>
      <c r="E90" s="79" t="s">
        <v>254</v>
      </c>
      <c r="F90" s="138"/>
      <c r="G90" s="138"/>
    </row>
    <row r="91" spans="1:7" ht="25.5" x14ac:dyDescent="0.25">
      <c r="A91" s="99" t="s">
        <v>168</v>
      </c>
      <c r="B91" s="98">
        <v>6</v>
      </c>
      <c r="C91" s="99" t="s">
        <v>199</v>
      </c>
      <c r="D91" s="76">
        <v>2</v>
      </c>
      <c r="E91" s="82">
        <v>0</v>
      </c>
      <c r="F91" s="98" t="s">
        <v>289</v>
      </c>
      <c r="G91" s="100"/>
    </row>
    <row r="92" spans="1:7" x14ac:dyDescent="0.25">
      <c r="A92" s="107" t="s">
        <v>25</v>
      </c>
      <c r="B92" s="100">
        <v>305</v>
      </c>
      <c r="C92" s="99" t="s">
        <v>223</v>
      </c>
      <c r="D92" s="76">
        <v>3</v>
      </c>
      <c r="E92" s="76">
        <v>0</v>
      </c>
      <c r="F92" s="100">
        <v>3</v>
      </c>
      <c r="G92" s="102" t="s">
        <v>216</v>
      </c>
    </row>
    <row r="93" spans="1:7" x14ac:dyDescent="0.25">
      <c r="A93" s="107" t="s">
        <v>172</v>
      </c>
      <c r="B93" s="100">
        <v>108</v>
      </c>
      <c r="C93" s="103" t="s">
        <v>64</v>
      </c>
      <c r="D93" s="76">
        <v>2</v>
      </c>
      <c r="E93" s="76">
        <v>3</v>
      </c>
      <c r="F93" s="104">
        <v>3</v>
      </c>
      <c r="G93" s="102" t="s">
        <v>281</v>
      </c>
    </row>
    <row r="94" spans="1:7" x14ac:dyDescent="0.25">
      <c r="A94" s="101" t="s">
        <v>172</v>
      </c>
      <c r="B94" s="104">
        <v>109</v>
      </c>
      <c r="C94" s="109" t="s">
        <v>200</v>
      </c>
      <c r="D94" s="76">
        <v>2</v>
      </c>
      <c r="E94" s="76">
        <v>3</v>
      </c>
      <c r="F94" s="100">
        <v>3</v>
      </c>
      <c r="G94" s="102" t="s">
        <v>274</v>
      </c>
    </row>
    <row r="95" spans="1:7" x14ac:dyDescent="0.25">
      <c r="A95" s="106" t="s">
        <v>172</v>
      </c>
      <c r="B95" s="104">
        <v>110</v>
      </c>
      <c r="C95" s="99" t="s">
        <v>60</v>
      </c>
      <c r="D95" s="76">
        <v>2</v>
      </c>
      <c r="E95" s="76">
        <v>3</v>
      </c>
      <c r="F95" s="104">
        <v>3</v>
      </c>
      <c r="G95" s="101" t="s">
        <v>273</v>
      </c>
    </row>
    <row r="96" spans="1:7" x14ac:dyDescent="0.25">
      <c r="A96" s="107" t="s">
        <v>172</v>
      </c>
      <c r="B96" s="100">
        <v>111</v>
      </c>
      <c r="C96" s="109" t="s">
        <v>222</v>
      </c>
      <c r="D96" s="76">
        <v>2</v>
      </c>
      <c r="E96" s="76">
        <v>3</v>
      </c>
      <c r="F96" s="100">
        <v>3</v>
      </c>
      <c r="G96" s="102" t="s">
        <v>273</v>
      </c>
    </row>
    <row r="97" spans="1:7" x14ac:dyDescent="0.25">
      <c r="A97" s="106" t="s">
        <v>46</v>
      </c>
      <c r="B97" s="104">
        <v>101</v>
      </c>
      <c r="C97" s="103" t="s">
        <v>206</v>
      </c>
      <c r="D97" s="76">
        <v>3</v>
      </c>
      <c r="E97" s="76">
        <v>0</v>
      </c>
      <c r="F97" s="104">
        <v>3</v>
      </c>
      <c r="G97" s="102" t="s">
        <v>276</v>
      </c>
    </row>
    <row r="98" spans="1:7" x14ac:dyDescent="0.25">
      <c r="A98" s="106"/>
      <c r="B98" s="104"/>
      <c r="C98" s="108" t="s">
        <v>89</v>
      </c>
      <c r="D98" s="76"/>
      <c r="E98" s="76"/>
      <c r="F98" s="96">
        <f>SUM(F91:F97)</f>
        <v>18</v>
      </c>
      <c r="G98" s="104"/>
    </row>
    <row r="99" spans="1:7" ht="7.9" customHeight="1" x14ac:dyDescent="0.25">
      <c r="A99" s="35"/>
      <c r="B99" s="114"/>
      <c r="C99" s="115"/>
      <c r="D99" s="81"/>
      <c r="E99" s="81"/>
      <c r="F99" s="35"/>
      <c r="G99" s="111"/>
    </row>
    <row r="100" spans="1:7" ht="13.15" customHeight="1" x14ac:dyDescent="0.25">
      <c r="A100" s="35"/>
      <c r="B100" s="114"/>
      <c r="C100" s="115"/>
      <c r="D100" s="81"/>
      <c r="E100" s="81"/>
      <c r="F100" s="35"/>
      <c r="G100" s="111"/>
    </row>
    <row r="101" spans="1:7" x14ac:dyDescent="0.25">
      <c r="A101" s="92" t="s">
        <v>263</v>
      </c>
      <c r="B101" s="93"/>
      <c r="C101" s="112"/>
      <c r="D101" s="88"/>
      <c r="E101" s="88"/>
      <c r="G101" s="67"/>
    </row>
    <row r="102" spans="1:7" ht="10.9" customHeight="1" x14ac:dyDescent="0.25">
      <c r="A102" s="139" t="s">
        <v>249</v>
      </c>
      <c r="B102" s="140"/>
      <c r="C102" s="143" t="s">
        <v>250</v>
      </c>
      <c r="D102" s="145" t="s">
        <v>255</v>
      </c>
      <c r="E102" s="146"/>
      <c r="F102" s="137" t="s">
        <v>252</v>
      </c>
      <c r="G102" s="137" t="s">
        <v>253</v>
      </c>
    </row>
    <row r="103" spans="1:7" ht="9.6" customHeight="1" x14ac:dyDescent="0.25">
      <c r="A103" s="141"/>
      <c r="B103" s="142"/>
      <c r="C103" s="144"/>
      <c r="D103" s="79" t="s">
        <v>251</v>
      </c>
      <c r="E103" s="79" t="s">
        <v>254</v>
      </c>
      <c r="F103" s="138"/>
      <c r="G103" s="138"/>
    </row>
    <row r="104" spans="1:7" x14ac:dyDescent="0.25">
      <c r="A104" s="106" t="s">
        <v>25</v>
      </c>
      <c r="B104" s="100">
        <v>401</v>
      </c>
      <c r="C104" s="99" t="s">
        <v>210</v>
      </c>
      <c r="D104" s="76">
        <v>2</v>
      </c>
      <c r="E104" s="76">
        <v>3</v>
      </c>
      <c r="F104" s="104">
        <v>3</v>
      </c>
      <c r="G104" s="101" t="s">
        <v>211</v>
      </c>
    </row>
    <row r="105" spans="1:7" x14ac:dyDescent="0.25">
      <c r="A105" s="102" t="s">
        <v>172</v>
      </c>
      <c r="B105" s="100">
        <v>112</v>
      </c>
      <c r="C105" s="109" t="s">
        <v>266</v>
      </c>
      <c r="D105" s="76">
        <v>2</v>
      </c>
      <c r="E105" s="76">
        <v>3</v>
      </c>
      <c r="F105" s="104">
        <v>3</v>
      </c>
      <c r="G105" s="101" t="s">
        <v>202</v>
      </c>
    </row>
    <row r="106" spans="1:7" x14ac:dyDescent="0.25">
      <c r="A106" s="107" t="s">
        <v>46</v>
      </c>
      <c r="B106" s="100">
        <v>102</v>
      </c>
      <c r="C106" s="103" t="s">
        <v>212</v>
      </c>
      <c r="D106" s="76">
        <v>3</v>
      </c>
      <c r="E106" s="76">
        <v>0</v>
      </c>
      <c r="F106" s="104">
        <v>3</v>
      </c>
      <c r="G106" s="102" t="s">
        <v>275</v>
      </c>
    </row>
    <row r="107" spans="1:7" x14ac:dyDescent="0.25">
      <c r="A107" s="107"/>
      <c r="B107" s="100"/>
      <c r="C107" s="108" t="s">
        <v>89</v>
      </c>
      <c r="D107" s="76"/>
      <c r="E107" s="76"/>
      <c r="F107" s="96">
        <f>SUM(F104:F106)</f>
        <v>9</v>
      </c>
      <c r="G107" s="102"/>
    </row>
    <row r="108" spans="1:7" ht="8.4499999999999993" customHeight="1" x14ac:dyDescent="0.25">
      <c r="E108" s="81"/>
    </row>
    <row r="109" spans="1:7" x14ac:dyDescent="0.25">
      <c r="A109" s="92" t="s">
        <v>265</v>
      </c>
      <c r="B109" s="93"/>
      <c r="C109" s="112"/>
      <c r="D109" s="88"/>
      <c r="E109" s="88"/>
      <c r="G109" s="67"/>
    </row>
    <row r="110" spans="1:7" ht="10.9" customHeight="1" x14ac:dyDescent="0.25">
      <c r="A110" s="139" t="s">
        <v>249</v>
      </c>
      <c r="B110" s="140"/>
      <c r="C110" s="143" t="s">
        <v>250</v>
      </c>
      <c r="D110" s="145" t="s">
        <v>255</v>
      </c>
      <c r="E110" s="146"/>
      <c r="F110" s="137" t="s">
        <v>252</v>
      </c>
      <c r="G110" s="137" t="s">
        <v>253</v>
      </c>
    </row>
    <row r="111" spans="1:7" ht="9.6" customHeight="1" x14ac:dyDescent="0.25">
      <c r="A111" s="141"/>
      <c r="B111" s="142"/>
      <c r="C111" s="144"/>
      <c r="D111" s="79" t="s">
        <v>251</v>
      </c>
      <c r="E111" s="79" t="s">
        <v>254</v>
      </c>
      <c r="F111" s="138"/>
      <c r="G111" s="138"/>
    </row>
    <row r="112" spans="1:7" x14ac:dyDescent="0.25">
      <c r="A112" s="107" t="s">
        <v>237</v>
      </c>
      <c r="B112" s="100">
        <v>101</v>
      </c>
      <c r="C112" s="103" t="s">
        <v>42</v>
      </c>
      <c r="D112" s="76"/>
      <c r="E112" s="76"/>
      <c r="F112" s="104">
        <v>6</v>
      </c>
      <c r="G112" s="107"/>
    </row>
    <row r="113" spans="1:7" x14ac:dyDescent="0.25">
      <c r="A113" s="107"/>
      <c r="B113" s="100"/>
      <c r="C113" s="108" t="s">
        <v>89</v>
      </c>
      <c r="D113" s="89"/>
      <c r="E113" s="89"/>
      <c r="F113" s="96">
        <v>6</v>
      </c>
      <c r="G113" s="107"/>
    </row>
    <row r="114" spans="1:7" x14ac:dyDescent="0.25">
      <c r="A114" s="35"/>
      <c r="B114" s="65"/>
      <c r="C114" s="115"/>
      <c r="E114" s="68"/>
    </row>
    <row r="115" spans="1:7" x14ac:dyDescent="0.25">
      <c r="E115" s="68"/>
    </row>
  </sheetData>
  <mergeCells count="53">
    <mergeCell ref="A110:B111"/>
    <mergeCell ref="C110:C111"/>
    <mergeCell ref="D110:E110"/>
    <mergeCell ref="F110:F111"/>
    <mergeCell ref="G110:G111"/>
    <mergeCell ref="A89:B90"/>
    <mergeCell ref="C89:C90"/>
    <mergeCell ref="D89:E89"/>
    <mergeCell ref="F89:F90"/>
    <mergeCell ref="G89:G90"/>
    <mergeCell ref="A102:B103"/>
    <mergeCell ref="C102:C103"/>
    <mergeCell ref="D102:E102"/>
    <mergeCell ref="F102:F103"/>
    <mergeCell ref="G102:G103"/>
    <mergeCell ref="A69:B70"/>
    <mergeCell ref="C69:C70"/>
    <mergeCell ref="D69:E69"/>
    <mergeCell ref="F69:F70"/>
    <mergeCell ref="G69:G70"/>
    <mergeCell ref="A77:B78"/>
    <mergeCell ref="C77:C78"/>
    <mergeCell ref="D77:E77"/>
    <mergeCell ref="F77:F78"/>
    <mergeCell ref="G77:G78"/>
    <mergeCell ref="A43:B44"/>
    <mergeCell ref="C43:C44"/>
    <mergeCell ref="D43:E43"/>
    <mergeCell ref="F43:F44"/>
    <mergeCell ref="G43:G44"/>
    <mergeCell ref="A56:B57"/>
    <mergeCell ref="C56:C57"/>
    <mergeCell ref="D56:E56"/>
    <mergeCell ref="F56:F57"/>
    <mergeCell ref="G56:G57"/>
    <mergeCell ref="A21:B22"/>
    <mergeCell ref="C21:C22"/>
    <mergeCell ref="D21:E21"/>
    <mergeCell ref="F21:F22"/>
    <mergeCell ref="G21:G22"/>
    <mergeCell ref="A35:B36"/>
    <mergeCell ref="C35:C36"/>
    <mergeCell ref="D35:E35"/>
    <mergeCell ref="F35:F36"/>
    <mergeCell ref="G35:G36"/>
    <mergeCell ref="A1:G1"/>
    <mergeCell ref="A2:G2"/>
    <mergeCell ref="A3:G3"/>
    <mergeCell ref="A6:B7"/>
    <mergeCell ref="C6:C7"/>
    <mergeCell ref="D6:E6"/>
    <mergeCell ref="F6:F7"/>
    <mergeCell ref="G6:G7"/>
  </mergeCells>
  <pageMargins left="0.56000000000000005" right="0.37" top="0.38" bottom="0.13" header="0.24" footer="0.12"/>
  <pageSetup paperSize="14" orientation="portrait" horizontalDpi="0" verticalDpi="0" r:id="rId1"/>
  <headerFooter scaleWithDoc="0" alignWithMargins="0">
    <oddFooter>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Sheet1</vt:lpstr>
      <vt:lpstr>Sheet2</vt:lpstr>
      <vt:lpstr>Sheet2 (2)</vt:lpstr>
      <vt:lpstr>Sheet1 (2)</vt:lpstr>
      <vt:lpstr>Subject Groupings</vt:lpstr>
      <vt:lpstr>final</vt:lpstr>
      <vt:lpstr>final!Print_Titles</vt:lpstr>
      <vt:lpstr>'Sheet1 (2)'!Print_Titles</vt:lpstr>
      <vt:lpstr>'Subject Groupings'!Print_Titles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NYLECOJ</dc:creator>
  <cp:lastModifiedBy>DEAN SECRETARY</cp:lastModifiedBy>
  <cp:lastPrinted>2026-07-13T05:53:53Z</cp:lastPrinted>
  <dcterms:created xsi:type="dcterms:W3CDTF">2021-07-30T01:45:15Z</dcterms:created>
  <dcterms:modified xsi:type="dcterms:W3CDTF">2026-07-30T10:33:42Z</dcterms:modified>
</cp:coreProperties>
</file>